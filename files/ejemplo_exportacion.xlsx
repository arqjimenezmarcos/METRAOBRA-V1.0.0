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 de compras" sheetId="1" r:id="rId1"/>
    <sheet name="Precios" sheetId="2" r:id="rId2"/>
    <sheet name="Resumen por partidas" sheetId="3" r:id="rId3"/>
    <sheet name="Fórmulas" sheetId="4" r:id="rId4"/>
  </sheets>
  <calcPr calcId="191029" fullCalcOnLoad="1"/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name val="Calibri"/>
    </font>
    <font>
      <b/>
      <sz val="11"/>
      <color rgb="FFF3EEDC"/>
      <name val="Calibri"/>
    </font>
    <font>
      <b/>
      <sz val="16"/>
      <color rgb="FF4A5230"/>
      <name val="Calibri"/>
    </font>
    <font>
      <i/>
      <sz val="10"/>
      <color rgb="FF5A5F3F"/>
      <name val="Calibri"/>
    </font>
    <font>
      <b/>
      <sz val="11"/>
      <color rgb="FF4A523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5230"/>
        <bgColor indexed="64"/>
      </patternFill>
    </fill>
    <fill>
      <patternFill patternType="solid">
        <fgColor rgb="FFF3EED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B9B38A"/>
      </left>
      <right style="thin">
        <color rgb="FFB9B38A"/>
      </right>
      <top style="thin">
        <color rgb="FFB9B38A"/>
      </top>
      <bottom style="thin">
        <color rgb="FFB9B38A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/>
    <xf numFmtId="0" fontId="3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/>
    <xf numFmtId="0" fontId="0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4" fontId="0" fillId="0" borderId="1" xfId="0" applyNumberFormat="1" applyFont="1" applyFill="1" applyBorder="1"/>
    <xf numFmtId="4" fontId="0" fillId="4" borderId="1" xfId="0" applyNumberFormat="1" applyFont="1" applyFill="1" applyBorder="1"/>
    <xf numFmtId="0" fontId="1" fillId="3" borderId="1" xfId="0" applyNumberFormat="1" applyFont="1" applyFill="1" applyBorder="1"/>
    <xf numFmtId="4" fontId="1" fillId="3" borderId="1" xfId="0" applyNumberFormat="1" applyFont="1" applyFill="1" applyBorder="1"/>
    <xf numFmtId="0" fontId="4" fillId="0" borderId="0" xfId="0" applyNumberFormat="1" applyFont="1" applyFill="1" applyBorder="1"/>
    <xf numFmtId="0" fontId="5" fillId="3" borderId="1" xfId="0" applyNumberFormat="1" applyFont="1" applyFill="1" applyBorder="1"/>
    <xf numFmtId="3" fontId="0" fillId="0" borderId="1" xfId="0" applyNumberFormat="1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tabSelected="1"/>
  </sheetViews>
  <sheetFormatPr defaultRowHeight="15"/>
  <cols>
    <col min="1" max="1" width="48" customWidth="1"/>
    <col min="2" max="2" width="12" customWidth="1"/>
    <col min="3" max="3" width="10" customWidth="1"/>
    <col min="4" max="4" width="14" customWidth="1"/>
    <col min="5" max="5" width="16" customWidth="1"/>
  </cols>
  <sheetData>
    <row r="1">
      <c r="A1" s="3" t="inlineStr">
        <is>
          <t xml:space="preserve">Proyecto</t>
        </is>
      </c>
      <c r="B1" s="4" t="inlineStr">
        <is>
          <t xml:space="preserve">Casa Los Samanes</t>
        </is>
      </c>
    </row>
    <row r="2">
      <c r="A2" s="3" t="inlineStr">
        <is>
          <t xml:space="preserve">Ubicación</t>
        </is>
      </c>
      <c r="B2" s="4" t="inlineStr">
        <is>
          <t xml:space="preserve">Urb. Prueba, parcela 12</t>
        </is>
      </c>
    </row>
    <row r="3">
      <c r="A3" s="3" t="inlineStr">
        <is>
          <t xml:space="preserve">Fecha</t>
        </is>
      </c>
      <c r="B3" s="4" t="inlineStr">
        <is>
          <t xml:space="preserve">4/10/26, 3:14 a. m.</t>
        </is>
      </c>
    </row>
    <row r="4">
      <c r="A4" s="3" t="inlineStr">
        <is>
          <t xml:space="preserve">Generado por</t>
        </is>
      </c>
      <c r="B4" s="4"/>
    </row>
    <row r="5"/>
    <row r="6">
      <c r="A6" s="2" t="inlineStr">
        <is>
          <t xml:space="preserve">Descripción</t>
        </is>
      </c>
      <c r="B6" s="2" t="inlineStr">
        <is>
          <t xml:space="preserve">Cantidad</t>
        </is>
      </c>
      <c r="C6" s="2" t="inlineStr">
        <is>
          <t xml:space="preserve">Und</t>
        </is>
      </c>
      <c r="D6" s="2" t="inlineStr">
        <is>
          <t xml:space="preserve">P. Unitario</t>
        </is>
      </c>
      <c r="E6" s="2" t="inlineStr">
        <is>
          <t xml:space="preserve">Subtotal</t>
        </is>
      </c>
    </row>
    <row r="7">
      <c r="A7" s="5" t="inlineStr">
        <is>
          <t xml:space="preserve">Arena</t>
        </is>
      </c>
      <c r="B7" s="6">
        <v>2.079006562500001</v>
      </c>
      <c r="C7" s="5" t="inlineStr">
        <is>
          <t xml:space="preserve">m³</t>
        </is>
      </c>
      <c r="D7" s="6">
        <f>Precios!C5</f>
        <v>30</v>
      </c>
      <c r="E7" s="6">
        <f>B7*D7</f>
        <v>62.370196875000026</v>
      </c>
    </row>
    <row r="8">
      <c r="A8" s="5" t="inlineStr">
        <is>
          <t xml:space="preserve">Bloque de concreto de 15 cm</t>
        </is>
      </c>
      <c r="B8" s="12">
        <v>342</v>
      </c>
      <c r="C8" s="5" t="inlineStr">
        <is>
          <t xml:space="preserve">und</t>
        </is>
      </c>
      <c r="D8" s="6">
        <f>Precios!C6</f>
        <v>0</v>
      </c>
      <c r="E8" s="6">
        <f>B8*D8</f>
        <v>0</v>
      </c>
    </row>
    <row r="9">
      <c r="A9" s="5" t="inlineStr">
        <is>
          <t xml:space="preserve">Boquilla (fragua)</t>
        </is>
      </c>
      <c r="B9" s="6">
        <v>2.5600000000000005</v>
      </c>
      <c r="C9" s="5" t="inlineStr">
        <is>
          <t xml:space="preserve">kg</t>
        </is>
      </c>
      <c r="D9" s="6">
        <f>Precios!C7</f>
        <v>0</v>
      </c>
      <c r="E9" s="6">
        <f>B9*D9</f>
        <v>0</v>
      </c>
    </row>
    <row r="10">
      <c r="A10" s="5" t="inlineStr">
        <is>
          <t xml:space="preserve">Cabilla ø 1/2" de 12 m</t>
        </is>
      </c>
      <c r="B10" s="12">
        <v>10</v>
      </c>
      <c r="C10" s="5" t="inlineStr">
        <is>
          <t xml:space="preserve">und</t>
        </is>
      </c>
      <c r="D10" s="6">
        <f>Precios!C8</f>
        <v>0</v>
      </c>
      <c r="E10" s="6">
        <f>B10*D10</f>
        <v>0</v>
      </c>
    </row>
    <row r="11">
      <c r="A11" s="5" t="inlineStr">
        <is>
          <t xml:space="preserve">Cemento (saco de 42,5 kg)</t>
        </is>
      </c>
      <c r="B11" s="12">
        <v>13</v>
      </c>
      <c r="C11" s="5" t="inlineStr">
        <is>
          <t xml:space="preserve">sacos</t>
        </is>
      </c>
      <c r="D11" s="6">
        <f>Precios!C9</f>
        <v>0</v>
      </c>
      <c r="E11" s="6">
        <f>B11*D11</f>
        <v>0</v>
      </c>
    </row>
    <row r="12">
      <c r="A12" s="5" t="inlineStr">
        <is>
          <t xml:space="preserve">Cemento (saco de 50 kg)</t>
        </is>
      </c>
      <c r="B12" s="12">
        <v>9</v>
      </c>
      <c r="C12" s="5" t="inlineStr">
        <is>
          <t xml:space="preserve">sacos</t>
        </is>
      </c>
      <c r="D12" s="6">
        <f>Precios!C10</f>
        <v>9</v>
      </c>
      <c r="E12" s="6">
        <f>B12*D12</f>
        <v>81</v>
      </c>
    </row>
    <row r="13">
      <c r="A13" s="5" t="inlineStr">
        <is>
          <t xml:space="preserve">Cerámica 60×60 cm</t>
        </is>
      </c>
      <c r="B13" s="12">
        <v>15</v>
      </c>
      <c r="C13" s="5" t="inlineStr">
        <is>
          <t xml:space="preserve">cajas</t>
        </is>
      </c>
      <c r="D13" s="6">
        <f>Precios!C11</f>
        <v>0</v>
      </c>
      <c r="E13" s="6">
        <f>B13*D13</f>
        <v>0</v>
      </c>
    </row>
    <row r="14">
      <c r="A14" s="5" t="inlineStr">
        <is>
          <t xml:space="preserve">Clavos de 2 1/2"</t>
        </is>
      </c>
      <c r="B14" s="6">
        <v>1.7279999999999998</v>
      </c>
      <c r="C14" s="5" t="inlineStr">
        <is>
          <t xml:space="preserve">kg</t>
        </is>
      </c>
      <c r="D14" s="6">
        <f>Precios!C12</f>
        <v>0</v>
      </c>
      <c r="E14" s="6">
        <f>B14*D14</f>
        <v>0</v>
      </c>
    </row>
    <row r="15">
      <c r="A15" s="5" t="inlineStr">
        <is>
          <t xml:space="preserve">Clavos de 3"</t>
        </is>
      </c>
      <c r="B15" s="6">
        <v>1.8</v>
      </c>
      <c r="C15" s="5" t="inlineStr">
        <is>
          <t xml:space="preserve">kg</t>
        </is>
      </c>
      <c r="D15" s="6">
        <f>Precios!C13</f>
        <v>0</v>
      </c>
      <c r="E15" s="6">
        <f>B15*D15</f>
        <v>0</v>
      </c>
    </row>
    <row r="16">
      <c r="A16" s="5" t="inlineStr">
        <is>
          <t xml:space="preserve">Cuadrilla · Pared de bloque</t>
        </is>
      </c>
      <c r="B16" s="6">
        <v>3</v>
      </c>
      <c r="C16" s="5" t="inlineStr">
        <is>
          <t xml:space="preserve">días</t>
        </is>
      </c>
      <c r="D16" s="6">
        <f>Precios!C14</f>
        <v>0</v>
      </c>
      <c r="E16" s="6">
        <f>B16*D16</f>
        <v>0</v>
      </c>
    </row>
    <row r="17">
      <c r="A17" s="5" t="inlineStr">
        <is>
          <t xml:space="preserve">Imprimación asfáltica</t>
        </is>
      </c>
      <c r="B17" s="6">
        <v>12</v>
      </c>
      <c r="C17" s="5" t="inlineStr">
        <is>
          <t xml:space="preserve">L</t>
        </is>
      </c>
      <c r="D17" s="6">
        <f>Precios!C15</f>
        <v>0</v>
      </c>
      <c r="E17" s="6">
        <f>B17*D17</f>
        <v>0</v>
      </c>
    </row>
    <row r="18">
      <c r="A18" s="5" t="inlineStr">
        <is>
          <t xml:space="preserve">Lámina de zinc acanalada de 3,66 m</t>
        </is>
      </c>
      <c r="B18" s="12">
        <v>21</v>
      </c>
      <c r="C18" s="5" t="inlineStr">
        <is>
          <t xml:space="preserve">und</t>
        </is>
      </c>
      <c r="D18" s="6">
        <f>Precios!C16</f>
        <v>0</v>
      </c>
      <c r="E18" s="6">
        <f>B18*D18</f>
        <v>0</v>
      </c>
    </row>
    <row r="19">
      <c r="A19" s="5" t="inlineStr">
        <is>
          <t xml:space="preserve">Listones de 2"×4"×3 m</t>
        </is>
      </c>
      <c r="B19" s="12">
        <v>6</v>
      </c>
      <c r="C19" s="5" t="inlineStr">
        <is>
          <t xml:space="preserve">piezas</t>
        </is>
      </c>
      <c r="D19" s="6">
        <f>Precios!C17</f>
        <v>0</v>
      </c>
      <c r="E19" s="6">
        <f>B19*D19</f>
        <v>0</v>
      </c>
    </row>
    <row r="20">
      <c r="A20" s="5" t="inlineStr">
        <is>
          <t xml:space="preserve">Manto asfáltico</t>
        </is>
      </c>
      <c r="B20" s="6">
        <v>66.60000000000001</v>
      </c>
      <c r="C20" s="5" t="inlineStr">
        <is>
          <t xml:space="preserve">m²</t>
        </is>
      </c>
      <c r="D20" s="6">
        <f>Precios!C18</f>
        <v>0</v>
      </c>
      <c r="E20" s="6">
        <f>B20*D20</f>
        <v>0</v>
      </c>
    </row>
    <row r="21">
      <c r="A21" s="5" t="inlineStr">
        <is>
          <t xml:space="preserve">Pego para cerámica (bolsa de 25 kg)</t>
        </is>
      </c>
      <c r="B21" s="12">
        <v>4</v>
      </c>
      <c r="C21" s="5" t="inlineStr">
        <is>
          <t xml:space="preserve">bolsas</t>
        </is>
      </c>
      <c r="D21" s="6">
        <f>Precios!C19</f>
        <v>0</v>
      </c>
      <c r="E21" s="6">
        <f>B21*D21</f>
        <v>0</v>
      </c>
    </row>
    <row r="22">
      <c r="A22" s="5" t="inlineStr">
        <is>
          <t xml:space="preserve">Piedra picada 1"</t>
        </is>
      </c>
      <c r="B22" s="6">
        <v>0.8788500000000002</v>
      </c>
      <c r="C22" s="5" t="inlineStr">
        <is>
          <t xml:space="preserve">m³</t>
        </is>
      </c>
      <c r="D22" s="6">
        <f>Precios!C20</f>
        <v>0</v>
      </c>
      <c r="E22" s="6">
        <f>B22*D22</f>
        <v>0</v>
      </c>
    </row>
    <row r="23">
      <c r="A23" s="5" t="inlineStr">
        <is>
          <t xml:space="preserve">Pintura caucho (paredes)</t>
        </is>
      </c>
      <c r="B23" s="6">
        <v>6.16</v>
      </c>
      <c r="C23" s="5" t="inlineStr">
        <is>
          <t xml:space="preserve">gal</t>
        </is>
      </c>
      <c r="D23" s="6">
        <f>Precios!C21</f>
        <v>0</v>
      </c>
      <c r="E23" s="6">
        <f>B23*D23</f>
        <v>0</v>
      </c>
    </row>
    <row r="24">
      <c r="A24" s="5" t="inlineStr">
        <is>
          <t xml:space="preserve">Tablas de 1"×8"×3 m</t>
        </is>
      </c>
      <c r="B24" s="12">
        <v>9</v>
      </c>
      <c r="C24" s="5" t="inlineStr">
        <is>
          <t xml:space="preserve">piezas</t>
        </is>
      </c>
      <c r="D24" s="6">
        <f>Precios!C22</f>
        <v>0</v>
      </c>
      <c r="E24" s="6">
        <f>B24*D24</f>
        <v>0</v>
      </c>
    </row>
    <row r="25">
      <c r="A25" s="5" t="inlineStr">
        <is>
          <t xml:space="preserve">Tornapuntas</t>
        </is>
      </c>
      <c r="B25" s="12">
        <v>8</v>
      </c>
      <c r="C25" s="5" t="inlineStr">
        <is>
          <t xml:space="preserve">piezas</t>
        </is>
      </c>
      <c r="D25" s="6">
        <f>Precios!C23</f>
        <v>0</v>
      </c>
      <c r="E25" s="6">
        <f>B25*D25</f>
        <v>0</v>
      </c>
    </row>
    <row r="26">
      <c r="A26" s="8" t="inlineStr">
        <is>
          <t xml:space="preserve">TOTAL</t>
        </is>
      </c>
      <c r="B26" s="8"/>
      <c r="C26" s="8"/>
      <c r="D26" s="8"/>
      <c r="E26" s="9">
        <f>SUM(E7:E25)</f>
        <v>143.37019687500003</v>
      </c>
    </row>
    <row r="27"/>
    <row r="28">
      <c r="A28" s="10" t="inlineStr">
        <is>
          <t xml:space="preserve">Cantidades referenciales; verifícalas con tu ingeniero. Criterios de concreto según COVENIN 1753-2006.</t>
        </is>
      </c>
    </row>
  </sheetData>
  <pageMargins left="0.5" right="0.5" top="0.6" bottom="0.6" header="0.3" footer="0.3"/>
  <pageSetup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48" customWidth="1"/>
    <col min="2" max="2" width="10" customWidth="1"/>
    <col min="3" max="3" width="16" customWidth="1"/>
  </cols>
  <sheetData>
    <row r="1">
      <c r="A1" s="1" t="inlineStr">
        <is>
          <t xml:space="preserve">Precios unitarios de materiales</t>
        </is>
      </c>
    </row>
    <row r="2">
      <c r="A2" s="10" t="inlineStr">
        <is>
          <t xml:space="preserve">Edita la columna C (celdas amarillas): las demás hojas se recalculan solas. Si un material tenía varios precios en la app, se usó el más reciente.</t>
        </is>
      </c>
    </row>
    <row r="3"/>
    <row r="4">
      <c r="A4" s="2" t="inlineStr">
        <is>
          <t xml:space="preserve">Material</t>
        </is>
      </c>
      <c r="B4" s="2" t="inlineStr">
        <is>
          <t xml:space="preserve">Und</t>
        </is>
      </c>
      <c r="C4" s="2" t="inlineStr">
        <is>
          <t xml:space="preserve">Precio unitario</t>
        </is>
      </c>
    </row>
    <row r="5">
      <c r="A5" s="5" t="inlineStr">
        <is>
          <t xml:space="preserve">Arena</t>
        </is>
      </c>
      <c r="B5" s="5" t="inlineStr">
        <is>
          <t xml:space="preserve">m³</t>
        </is>
      </c>
      <c r="C5" s="7">
        <v>30</v>
      </c>
    </row>
    <row r="6">
      <c r="A6" s="5" t="inlineStr">
        <is>
          <t xml:space="preserve">Bloque de concreto de 15 cm</t>
        </is>
      </c>
      <c r="B6" s="5" t="inlineStr">
        <is>
          <t xml:space="preserve">und</t>
        </is>
      </c>
      <c r="C6" s="7">
        <v>0</v>
      </c>
    </row>
    <row r="7">
      <c r="A7" s="5" t="inlineStr">
        <is>
          <t xml:space="preserve">Boquilla (fragua)</t>
        </is>
      </c>
      <c r="B7" s="5" t="inlineStr">
        <is>
          <t xml:space="preserve">kg</t>
        </is>
      </c>
      <c r="C7" s="7">
        <v>0</v>
      </c>
    </row>
    <row r="8">
      <c r="A8" s="5" t="inlineStr">
        <is>
          <t xml:space="preserve">Cabilla ø 1/2" de 12 m</t>
        </is>
      </c>
      <c r="B8" s="5" t="inlineStr">
        <is>
          <t xml:space="preserve">und</t>
        </is>
      </c>
      <c r="C8" s="7">
        <v>0</v>
      </c>
    </row>
    <row r="9">
      <c r="A9" s="5" t="inlineStr">
        <is>
          <t xml:space="preserve">Cemento (saco de 42,5 kg)</t>
        </is>
      </c>
      <c r="B9" s="5" t="inlineStr">
        <is>
          <t xml:space="preserve">sacos</t>
        </is>
      </c>
      <c r="C9" s="7">
        <v>0</v>
      </c>
    </row>
    <row r="10">
      <c r="A10" s="5" t="inlineStr">
        <is>
          <t xml:space="preserve">Cemento (saco de 50 kg)</t>
        </is>
      </c>
      <c r="B10" s="5" t="inlineStr">
        <is>
          <t xml:space="preserve">sacos</t>
        </is>
      </c>
      <c r="C10" s="7">
        <v>9</v>
      </c>
    </row>
    <row r="11">
      <c r="A11" s="5" t="inlineStr">
        <is>
          <t xml:space="preserve">Cerámica 60×60 cm</t>
        </is>
      </c>
      <c r="B11" s="5" t="inlineStr">
        <is>
          <t xml:space="preserve">cajas</t>
        </is>
      </c>
      <c r="C11" s="7">
        <v>0</v>
      </c>
    </row>
    <row r="12">
      <c r="A12" s="5" t="inlineStr">
        <is>
          <t xml:space="preserve">Clavos de 2 1/2"</t>
        </is>
      </c>
      <c r="B12" s="5" t="inlineStr">
        <is>
          <t xml:space="preserve">kg</t>
        </is>
      </c>
      <c r="C12" s="7">
        <v>0</v>
      </c>
    </row>
    <row r="13">
      <c r="A13" s="5" t="inlineStr">
        <is>
          <t xml:space="preserve">Clavos de 3"</t>
        </is>
      </c>
      <c r="B13" s="5" t="inlineStr">
        <is>
          <t xml:space="preserve">kg</t>
        </is>
      </c>
      <c r="C13" s="7">
        <v>0</v>
      </c>
    </row>
    <row r="14">
      <c r="A14" s="5" t="inlineStr">
        <is>
          <t xml:space="preserve">Cuadrilla · Pared de bloque</t>
        </is>
      </c>
      <c r="B14" s="5" t="inlineStr">
        <is>
          <t xml:space="preserve">días</t>
        </is>
      </c>
      <c r="C14" s="7">
        <v>0</v>
      </c>
    </row>
    <row r="15">
      <c r="A15" s="5" t="inlineStr">
        <is>
          <t xml:space="preserve">Imprimación asfáltica</t>
        </is>
      </c>
      <c r="B15" s="5" t="inlineStr">
        <is>
          <t xml:space="preserve">L</t>
        </is>
      </c>
      <c r="C15" s="7">
        <v>0</v>
      </c>
    </row>
    <row r="16">
      <c r="A16" s="5" t="inlineStr">
        <is>
          <t xml:space="preserve">Lámina de zinc acanalada de 3,66 m</t>
        </is>
      </c>
      <c r="B16" s="5" t="inlineStr">
        <is>
          <t xml:space="preserve">und</t>
        </is>
      </c>
      <c r="C16" s="7">
        <v>0</v>
      </c>
    </row>
    <row r="17">
      <c r="A17" s="5" t="inlineStr">
        <is>
          <t xml:space="preserve">Listones de 2"×4"×3 m</t>
        </is>
      </c>
      <c r="B17" s="5" t="inlineStr">
        <is>
          <t xml:space="preserve">piezas</t>
        </is>
      </c>
      <c r="C17" s="7">
        <v>0</v>
      </c>
    </row>
    <row r="18">
      <c r="A18" s="5" t="inlineStr">
        <is>
          <t xml:space="preserve">Manto asfáltico</t>
        </is>
      </c>
      <c r="B18" s="5" t="inlineStr">
        <is>
          <t xml:space="preserve">m²</t>
        </is>
      </c>
      <c r="C18" s="7">
        <v>0</v>
      </c>
    </row>
    <row r="19">
      <c r="A19" s="5" t="inlineStr">
        <is>
          <t xml:space="preserve">Pego para cerámica (bolsa de 25 kg)</t>
        </is>
      </c>
      <c r="B19" s="5" t="inlineStr">
        <is>
          <t xml:space="preserve">bolsas</t>
        </is>
      </c>
      <c r="C19" s="7">
        <v>0</v>
      </c>
    </row>
    <row r="20">
      <c r="A20" s="5" t="inlineStr">
        <is>
          <t xml:space="preserve">Piedra picada 1"</t>
        </is>
      </c>
      <c r="B20" s="5" t="inlineStr">
        <is>
          <t xml:space="preserve">m³</t>
        </is>
      </c>
      <c r="C20" s="7">
        <v>0</v>
      </c>
    </row>
    <row r="21">
      <c r="A21" s="5" t="inlineStr">
        <is>
          <t xml:space="preserve">Pintura caucho (paredes)</t>
        </is>
      </c>
      <c r="B21" s="5" t="inlineStr">
        <is>
          <t xml:space="preserve">gal</t>
        </is>
      </c>
      <c r="C21" s="7">
        <v>0</v>
      </c>
    </row>
    <row r="22">
      <c r="A22" s="5" t="inlineStr">
        <is>
          <t xml:space="preserve">Tablas de 1"×8"×3 m</t>
        </is>
      </c>
      <c r="B22" s="5" t="inlineStr">
        <is>
          <t xml:space="preserve">piezas</t>
        </is>
      </c>
      <c r="C22" s="7">
        <v>0</v>
      </c>
    </row>
    <row r="23">
      <c r="A23" s="5" t="inlineStr">
        <is>
          <t xml:space="preserve">Tornapuntas</t>
        </is>
      </c>
      <c r="B23" s="5" t="inlineStr">
        <is>
          <t xml:space="preserve">piezas</t>
        </is>
      </c>
      <c r="C23" s="7">
        <v>0</v>
      </c>
    </row>
  </sheetData>
  <pageMargins left="0.5" right="0.5" top="0.6" bottom="0.6" header="0.3" footer="0.3"/>
  <pageSetup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52" customWidth="1"/>
    <col min="2" max="2" width="12" customWidth="1"/>
    <col min="3" max="3" width="10" customWidth="1"/>
    <col min="4" max="4" width="14" customWidth="1"/>
    <col min="5" max="5" width="16" customWidth="1"/>
  </cols>
  <sheetData>
    <row r="1">
      <c r="A1" s="1" t="inlineStr">
        <is>
          <t xml:space="preserve">Resumen por partidas</t>
        </is>
      </c>
    </row>
    <row r="2">
      <c r="A2" s="4" t="inlineStr">
        <is>
          <t xml:space="preserve">Casa Los Samanes · Urb. Prueba, parcela 12</t>
        </is>
      </c>
    </row>
    <row r="3"/>
    <row r="4">
      <c r="A4" s="2" t="inlineStr">
        <is>
          <t xml:space="preserve">Partida / Material</t>
        </is>
      </c>
      <c r="B4" s="2" t="inlineStr">
        <is>
          <t xml:space="preserve">Cantidad</t>
        </is>
      </c>
      <c r="C4" s="2" t="inlineStr">
        <is>
          <t xml:space="preserve">Und</t>
        </is>
      </c>
      <c r="D4" s="2" t="inlineStr">
        <is>
          <t xml:space="preserve">P. Unitario</t>
        </is>
      </c>
      <c r="E4" s="2" t="inlineStr">
        <is>
          <t xml:space="preserve">Subtotal</t>
        </is>
      </c>
    </row>
    <row r="5">
      <c r="A5" s="11" t="inlineStr">
        <is>
          <t xml:space="preserve">1. Columna · 1,08 m³ — Columna f'c 210 (1:2:3, a/c 0.5): 0.3×0.3×3 m × 4, piedra 1"</t>
        </is>
      </c>
      <c r="B5" s="11"/>
      <c r="C5" s="11"/>
      <c r="D5" s="11"/>
      <c r="E5" s="11"/>
    </row>
    <row r="6">
      <c r="A6" s="5" t="inlineStr">
        <is>
          <t xml:space="preserve">Cemento (saco de 50 kg)</t>
        </is>
      </c>
      <c r="B6" s="6">
        <v>8.436960000000001</v>
      </c>
      <c r="C6" s="5" t="inlineStr">
        <is>
          <t xml:space="preserve">sacos</t>
        </is>
      </c>
      <c r="D6" s="6">
        <f>Precios!C10</f>
        <v>9</v>
      </c>
      <c r="E6" s="6">
        <f>B6*D6</f>
        <v>75.93264</v>
      </c>
    </row>
    <row r="7">
      <c r="A7" s="5" t="inlineStr">
        <is>
          <t xml:space="preserve">Arena (concreto)</t>
        </is>
      </c>
      <c r="B7" s="6">
        <v>0.5859000000000001</v>
      </c>
      <c r="C7" s="5" t="inlineStr">
        <is>
          <t xml:space="preserve">m³</t>
        </is>
      </c>
      <c r="D7" s="6">
        <f>Precios!C5</f>
        <v>30</v>
      </c>
      <c r="E7" s="6">
        <f>B7*D7</f>
        <v>17.577</v>
      </c>
    </row>
    <row r="8">
      <c r="A8" s="5" t="inlineStr">
        <is>
          <t xml:space="preserve">Piedra picada 1" (concreto)</t>
        </is>
      </c>
      <c r="B8" s="6">
        <v>0.8788500000000002</v>
      </c>
      <c r="C8" s="5" t="inlineStr">
        <is>
          <t xml:space="preserve">m³</t>
        </is>
      </c>
      <c r="D8" s="6">
        <f>Precios!C20</f>
        <v>0</v>
      </c>
      <c r="E8" s="6">
        <f>B8*D8</f>
        <v>0</v>
      </c>
    </row>
    <row r="9">
      <c r="A9" s="8" t="inlineStr">
        <is>
          <t xml:space="preserve">Subtotal partida</t>
        </is>
      </c>
      <c r="B9" s="8"/>
      <c r="C9" s="8"/>
      <c r="D9" s="8"/>
      <c r="E9" s="9">
        <f>SUM(E6:E8)</f>
        <v>93.50964</v>
      </c>
    </row>
    <row r="10">
      <c r="A10" s="11" t="inlineStr">
        <is>
          <t xml:space="preserve">2. Acero ø 1/2" · 107,53 kg — Acero ø 1/2": 100 m</t>
        </is>
      </c>
      <c r="B10" s="11"/>
      <c r="C10" s="11"/>
      <c r="D10" s="11"/>
      <c r="E10" s="11"/>
    </row>
    <row r="11">
      <c r="A11" s="5" t="inlineStr">
        <is>
          <t xml:space="preserve">Cabilla ø 1/2" de 12 m</t>
        </is>
      </c>
      <c r="B11" s="6">
        <v>10</v>
      </c>
      <c r="C11" s="5" t="inlineStr">
        <is>
          <t xml:space="preserve">und</t>
        </is>
      </c>
      <c r="D11" s="6">
        <f>Precios!C8</f>
        <v>0</v>
      </c>
      <c r="E11" s="6">
        <f>B11*D11</f>
        <v>0</v>
      </c>
    </row>
    <row r="12">
      <c r="A12" s="8" t="inlineStr">
        <is>
          <t xml:space="preserve">Subtotal partida</t>
        </is>
      </c>
      <c r="B12" s="8"/>
      <c r="C12" s="8"/>
      <c r="D12" s="8"/>
      <c r="E12" s="9">
        <f>SUM(E11:E11)</f>
        <v>0</v>
      </c>
    </row>
    <row r="13">
      <c r="A13" s="11" t="inlineStr">
        <is>
          <t xml:space="preserve">3. Bloques — Bloque de concreto de 15 cm, 26 m² netos</t>
        </is>
      </c>
      <c r="B13" s="11"/>
      <c r="C13" s="11"/>
      <c r="D13" s="11"/>
      <c r="E13" s="11"/>
    </row>
    <row r="14">
      <c r="A14" s="5" t="inlineStr">
        <is>
          <t xml:space="preserve">Bloque de concreto de 15 cm</t>
        </is>
      </c>
      <c r="B14" s="6">
        <v>342</v>
      </c>
      <c r="C14" s="5" t="inlineStr">
        <is>
          <t xml:space="preserve">und</t>
        </is>
      </c>
      <c r="D14" s="6">
        <f>Precios!C6</f>
        <v>0</v>
      </c>
      <c r="E14" s="6">
        <f>B14*D14</f>
        <v>0</v>
      </c>
    </row>
    <row r="15">
      <c r="A15" s="5" t="inlineStr">
        <is>
          <t xml:space="preserve">Cemento (pega, saco de 42,5 kg)</t>
        </is>
      </c>
      <c r="B15" s="6">
        <v>2.7180562500000076</v>
      </c>
      <c r="C15" s="5" t="inlineStr">
        <is>
          <t xml:space="preserve">sacos</t>
        </is>
      </c>
      <c r="D15" s="6">
        <f>Precios!C9</f>
        <v>0</v>
      </c>
      <c r="E15" s="6">
        <f>B15*D15</f>
        <v>0</v>
      </c>
    </row>
    <row r="16">
      <c r="A16" s="5" t="inlineStr">
        <is>
          <t xml:space="preserve">Arena (pega)</t>
        </is>
      </c>
      <c r="B16" s="6">
        <v>0.3171065625000009</v>
      </c>
      <c r="C16" s="5" t="inlineStr">
        <is>
          <t xml:space="preserve">m³</t>
        </is>
      </c>
      <c r="D16" s="6">
        <f>Precios!C5</f>
        <v>30</v>
      </c>
      <c r="E16" s="6">
        <f>B16*D16</f>
        <v>9.513196875000027</v>
      </c>
    </row>
    <row r="17">
      <c r="A17" s="8" t="inlineStr">
        <is>
          <t xml:space="preserve">Subtotal partida</t>
        </is>
      </c>
      <c r="B17" s="8"/>
      <c r="C17" s="8"/>
      <c r="D17" s="8"/>
      <c r="E17" s="9">
        <f>SUM(E14:E16)</f>
        <v>9.513196875000027</v>
      </c>
    </row>
    <row r="18">
      <c r="A18" s="11" t="inlineStr">
        <is>
          <t xml:space="preserve">4. Friso — Friso interno 1:4: 50 m² × 2 cm</t>
        </is>
      </c>
      <c r="B18" s="11"/>
      <c r="C18" s="11"/>
      <c r="D18" s="11"/>
      <c r="E18" s="11"/>
    </row>
    <row r="19">
      <c r="A19" s="5" t="inlineStr">
        <is>
          <t xml:space="preserve">Cemento (friso interno, saco de 42,5 kg)</t>
        </is>
      </c>
      <c r="B19" s="6">
        <v>10.080000000000002</v>
      </c>
      <c r="C19" s="5" t="inlineStr">
        <is>
          <t xml:space="preserve">sacos</t>
        </is>
      </c>
      <c r="D19" s="6">
        <f>Precios!C9</f>
        <v>0</v>
      </c>
      <c r="E19" s="6">
        <f>B19*D19</f>
        <v>0</v>
      </c>
    </row>
    <row r="20">
      <c r="A20" s="5" t="inlineStr">
        <is>
          <t xml:space="preserve">Arena (friso interno)</t>
        </is>
      </c>
      <c r="B20" s="6">
        <v>1.1760000000000002</v>
      </c>
      <c r="C20" s="5" t="inlineStr">
        <is>
          <t xml:space="preserve">m³</t>
        </is>
      </c>
      <c r="D20" s="6">
        <f>Precios!C5</f>
        <v>30</v>
      </c>
      <c r="E20" s="6">
        <f>B20*D20</f>
        <v>35.28</v>
      </c>
    </row>
    <row r="21">
      <c r="A21" s="8" t="inlineStr">
        <is>
          <t xml:space="preserve">Subtotal partida</t>
        </is>
      </c>
      <c r="B21" s="8"/>
      <c r="C21" s="8"/>
      <c r="D21" s="8"/>
      <c r="E21" s="9">
        <f>SUM(E19:E20)</f>
        <v>35.28</v>
      </c>
    </row>
    <row r="22">
      <c r="A22" s="11" t="inlineStr">
        <is>
          <t xml:space="preserve">5. Impermeabilización — Manto asfáltico en 60 m²</t>
        </is>
      </c>
      <c r="B22" s="11"/>
      <c r="C22" s="11"/>
      <c r="D22" s="11"/>
      <c r="E22" s="11"/>
    </row>
    <row r="23">
      <c r="A23" s="5" t="inlineStr">
        <is>
          <t xml:space="preserve">Manto asfáltico</t>
        </is>
      </c>
      <c r="B23" s="6">
        <v>66.60000000000001</v>
      </c>
      <c r="C23" s="5" t="inlineStr">
        <is>
          <t xml:space="preserve">m²</t>
        </is>
      </c>
      <c r="D23" s="6">
        <f>Precios!C18</f>
        <v>0</v>
      </c>
      <c r="E23" s="6">
        <f>B23*D23</f>
        <v>0</v>
      </c>
    </row>
    <row r="24">
      <c r="A24" s="5" t="inlineStr">
        <is>
          <t xml:space="preserve">Imprimación asfáltica</t>
        </is>
      </c>
      <c r="B24" s="6">
        <v>12</v>
      </c>
      <c r="C24" s="5" t="inlineStr">
        <is>
          <t xml:space="preserve">L</t>
        </is>
      </c>
      <c r="D24" s="6">
        <f>Precios!C15</f>
        <v>0</v>
      </c>
      <c r="E24" s="6">
        <f>B24*D24</f>
        <v>0</v>
      </c>
    </row>
    <row r="25">
      <c r="A25" s="8" t="inlineStr">
        <is>
          <t xml:space="preserve">Subtotal partida</t>
        </is>
      </c>
      <c r="B25" s="8"/>
      <c r="C25" s="8"/>
      <c r="D25" s="8"/>
      <c r="E25" s="9">
        <f>SUM(E23:E24)</f>
        <v>0</v>
      </c>
    </row>
    <row r="26">
      <c r="A26" s="11" t="inlineStr">
        <is>
          <t xml:space="preserve">6. Pintura — Caucho en paredes: 80 m², 2 manos, friso nuevo</t>
        </is>
      </c>
      <c r="B26" s="11"/>
      <c r="C26" s="11"/>
      <c r="D26" s="11"/>
      <c r="E26" s="11"/>
    </row>
    <row r="27">
      <c r="A27" s="5" t="inlineStr">
        <is>
          <t xml:space="preserve">Pintura caucho (paredes)</t>
        </is>
      </c>
      <c r="B27" s="6">
        <v>6.16</v>
      </c>
      <c r="C27" s="5" t="inlineStr">
        <is>
          <t xml:space="preserve">gal</t>
        </is>
      </c>
      <c r="D27" s="6">
        <f>Precios!C21</f>
        <v>0</v>
      </c>
      <c r="E27" s="6">
        <f>B27*D27</f>
        <v>0</v>
      </c>
    </row>
    <row r="28">
      <c r="A28" s="8" t="inlineStr">
        <is>
          <t xml:space="preserve">Subtotal partida</t>
        </is>
      </c>
      <c r="B28" s="8"/>
      <c r="C28" s="8"/>
      <c r="D28" s="8"/>
      <c r="E28" s="9">
        <f>SUM(E27:E27)</f>
        <v>0</v>
      </c>
    </row>
    <row r="29">
      <c r="A29" s="11" t="inlineStr">
        <is>
          <t xml:space="preserve">7. Cerámica — Cerámica 60×60 cm, junta 3 mm, 20 m²</t>
        </is>
      </c>
      <c r="B29" s="11"/>
      <c r="C29" s="11"/>
      <c r="D29" s="11"/>
      <c r="E29" s="11"/>
    </row>
    <row r="30">
      <c r="A30" s="5" t="inlineStr">
        <is>
          <t xml:space="preserve">Cerámica 60×60 cm</t>
        </is>
      </c>
      <c r="B30" s="6">
        <v>15</v>
      </c>
      <c r="C30" s="5" t="inlineStr">
        <is>
          <t xml:space="preserve">cajas</t>
        </is>
      </c>
      <c r="D30" s="6">
        <f>Precios!C11</f>
        <v>0</v>
      </c>
      <c r="E30" s="6">
        <f>B30*D30</f>
        <v>0</v>
      </c>
    </row>
    <row r="31">
      <c r="A31" s="5" t="inlineStr">
        <is>
          <t xml:space="preserve">Pego para cerámica (bolsa de 25 kg)</t>
        </is>
      </c>
      <c r="B31" s="6">
        <v>4</v>
      </c>
      <c r="C31" s="5" t="inlineStr">
        <is>
          <t xml:space="preserve">bolsas</t>
        </is>
      </c>
      <c r="D31" s="6">
        <f>Precios!C19</f>
        <v>0</v>
      </c>
      <c r="E31" s="6">
        <f>B31*D31</f>
        <v>0</v>
      </c>
    </row>
    <row r="32">
      <c r="A32" s="5" t="inlineStr">
        <is>
          <t xml:space="preserve">Boquilla (fragua)</t>
        </is>
      </c>
      <c r="B32" s="6">
        <v>2.5600000000000005</v>
      </c>
      <c r="C32" s="5" t="inlineStr">
        <is>
          <t xml:space="preserve">kg</t>
        </is>
      </c>
      <c r="D32" s="6">
        <f>Precios!C7</f>
        <v>0</v>
      </c>
      <c r="E32" s="6">
        <f>B32*D32</f>
        <v>0</v>
      </c>
    </row>
    <row r="33">
      <c r="A33" s="8" t="inlineStr">
        <is>
          <t xml:space="preserve">Subtotal partida</t>
        </is>
      </c>
      <c r="B33" s="8"/>
      <c r="C33" s="8"/>
      <c r="D33" s="8"/>
      <c r="E33" s="9">
        <f>SUM(E30:E32)</f>
        <v>0</v>
      </c>
    </row>
    <row r="34">
      <c r="A34" s="11" t="inlineStr">
        <is>
          <t xml:space="preserve">8. Techo — Lámina de zinc acanalada, 41,76 m² de techo</t>
        </is>
      </c>
      <c r="B34" s="11"/>
      <c r="C34" s="11"/>
      <c r="D34" s="11"/>
      <c r="E34" s="11"/>
    </row>
    <row r="35">
      <c r="A35" s="5" t="inlineStr">
        <is>
          <t xml:space="preserve">Lámina de zinc acanalada de 3,66 m</t>
        </is>
      </c>
      <c r="B35" s="6">
        <v>21</v>
      </c>
      <c r="C35" s="5" t="inlineStr">
        <is>
          <t xml:space="preserve">und</t>
        </is>
      </c>
      <c r="D35" s="6">
        <f>Precios!C16</f>
        <v>0</v>
      </c>
      <c r="E35" s="6">
        <f>B35*D35</f>
        <v>0</v>
      </c>
    </row>
    <row r="36">
      <c r="A36" s="8" t="inlineStr">
        <is>
          <t xml:space="preserve">Subtotal partida</t>
        </is>
      </c>
      <c r="B36" s="8"/>
      <c r="C36" s="8"/>
      <c r="D36" s="8"/>
      <c r="E36" s="9">
        <f>SUM(E35:E35)</f>
        <v>0</v>
      </c>
    </row>
    <row r="37">
      <c r="A37" s="11" t="inlineStr">
        <is>
          <t xml:space="preserve">9. Cuadrilla — Pared de bloque: 30 m², 1 cuadrilla(s)</t>
        </is>
      </c>
      <c r="B37" s="11"/>
      <c r="C37" s="11"/>
      <c r="D37" s="11"/>
      <c r="E37" s="11"/>
    </row>
    <row r="38">
      <c r="A38" s="5" t="inlineStr">
        <is>
          <t xml:space="preserve">Cuadrilla · Pared de bloque</t>
        </is>
      </c>
      <c r="B38" s="6">
        <v>3</v>
      </c>
      <c r="C38" s="5" t="inlineStr">
        <is>
          <t xml:space="preserve">días</t>
        </is>
      </c>
      <c r="D38" s="6">
        <f>Precios!C14</f>
        <v>0</v>
      </c>
      <c r="E38" s="6">
        <f>B38*D38</f>
        <v>0</v>
      </c>
    </row>
    <row r="39">
      <c r="A39" s="8" t="inlineStr">
        <is>
          <t xml:space="preserve">Subtotal partida</t>
        </is>
      </c>
      <c r="B39" s="8"/>
      <c r="C39" s="8"/>
      <c r="D39" s="8"/>
      <c r="E39" s="9">
        <f>SUM(E38:E38)</f>
        <v>0</v>
      </c>
    </row>
    <row r="40">
      <c r="A40" s="11" t="inlineStr">
        <is>
          <t xml:space="preserve">10. Encofrado — Encofrado Columna: 0.3×0.3×3 m × 4</t>
        </is>
      </c>
      <c r="B40" s="11"/>
      <c r="C40" s="11"/>
      <c r="D40" s="11"/>
      <c r="E40" s="11"/>
    </row>
    <row r="41">
      <c r="A41" s="5" t="inlineStr">
        <is>
          <t xml:space="preserve">Tablas de 1"×8"×3 m</t>
        </is>
      </c>
      <c r="B41" s="6">
        <v>9</v>
      </c>
      <c r="C41" s="5" t="inlineStr">
        <is>
          <t xml:space="preserve">piezas</t>
        </is>
      </c>
      <c r="D41" s="6">
        <f>Precios!C22</f>
        <v>0</v>
      </c>
      <c r="E41" s="6">
        <f>B41*D41</f>
        <v>0</v>
      </c>
    </row>
    <row r="42">
      <c r="A42" s="5" t="inlineStr">
        <is>
          <t xml:space="preserve">Listones de 2"×4"×3 m</t>
        </is>
      </c>
      <c r="B42" s="6">
        <v>6</v>
      </c>
      <c r="C42" s="5" t="inlineStr">
        <is>
          <t xml:space="preserve">piezas</t>
        </is>
      </c>
      <c r="D42" s="6">
        <f>Precios!C17</f>
        <v>0</v>
      </c>
      <c r="E42" s="6">
        <f>B42*D42</f>
        <v>0</v>
      </c>
    </row>
    <row r="43">
      <c r="A43" s="5" t="inlineStr">
        <is>
          <t xml:space="preserve">Tornapuntas</t>
        </is>
      </c>
      <c r="B43" s="6">
        <v>8</v>
      </c>
      <c r="C43" s="5" t="inlineStr">
        <is>
          <t xml:space="preserve">piezas</t>
        </is>
      </c>
      <c r="D43" s="6">
        <f>Precios!C23</f>
        <v>0</v>
      </c>
      <c r="E43" s="6">
        <f>B43*D43</f>
        <v>0</v>
      </c>
    </row>
    <row r="44">
      <c r="A44" s="5" t="inlineStr">
        <is>
          <t xml:space="preserve">Clavos de 2 1/2"</t>
        </is>
      </c>
      <c r="B44" s="6">
        <v>1.7279999999999998</v>
      </c>
      <c r="C44" s="5" t="inlineStr">
        <is>
          <t xml:space="preserve">kg</t>
        </is>
      </c>
      <c r="D44" s="6">
        <f>Precios!C12</f>
        <v>0</v>
      </c>
      <c r="E44" s="6">
        <f>B44*D44</f>
        <v>0</v>
      </c>
    </row>
    <row r="45">
      <c r="A45" s="5" t="inlineStr">
        <is>
          <t xml:space="preserve">Clavos de 3"</t>
        </is>
      </c>
      <c r="B45" s="6">
        <v>1.8</v>
      </c>
      <c r="C45" s="5" t="inlineStr">
        <is>
          <t xml:space="preserve">kg</t>
        </is>
      </c>
      <c r="D45" s="6">
        <f>Precios!C13</f>
        <v>0</v>
      </c>
      <c r="E45" s="6">
        <f>B45*D45</f>
        <v>0</v>
      </c>
    </row>
    <row r="46">
      <c r="A46" s="8" t="inlineStr">
        <is>
          <t xml:space="preserve">Subtotal partida</t>
        </is>
      </c>
      <c r="B46" s="8"/>
      <c r="C46" s="8"/>
      <c r="D46" s="8"/>
      <c r="E46" s="9">
        <f>SUM(E41:E45)</f>
        <v>0</v>
      </c>
    </row>
    <row r="47"/>
    <row r="48">
      <c r="A48" s="8" t="inlineStr">
        <is>
          <t xml:space="preserve">TOTAL GENERAL</t>
        </is>
      </c>
      <c r="B48" s="8"/>
      <c r="C48" s="8"/>
      <c r="D48" s="8"/>
      <c r="E48" s="9">
        <f>E9+E12+E17+E21+E25+E28+E33+E36+E39+E46</f>
        <v>138.30283687500003</v>
      </c>
    </row>
  </sheetData>
  <pageMargins left="0.5" right="0.5" top="0.6" bottom="0.6" header="0.3" footer="0.3"/>
  <pageSetup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46" customWidth="1"/>
    <col min="2" max="2" width="16" customWidth="1"/>
    <col min="3" max="3" width="14" customWidth="1"/>
    <col min="4" max="4" width="62" customWidth="1"/>
  </cols>
  <sheetData>
    <row r="1">
      <c r="A1" s="1" t="inlineStr">
        <is>
          <t xml:space="preserve">Fórmulas y datos de cada cálculo</t>
        </is>
      </c>
    </row>
    <row r="2">
      <c r="A2" s="10" t="inlineStr">
        <is>
          <t xml:space="preserve">Los resultados son fórmulas vivas de Excel: cambia un dato de entrada (celda amarilla) y se recalculan.</t>
        </is>
      </c>
    </row>
    <row r="3"/>
    <row r="4">
      <c r="A4" s="11" t="inlineStr">
        <is>
          <t xml:space="preserve">1. Columna · 1,08 m³ — Columna f'c 210 (1:2:3, a/c 0.5): 0.3×0.3×3 m × 4, piedra 1"</t>
        </is>
      </c>
      <c r="B4" s="11"/>
      <c r="C4" s="11"/>
      <c r="D4" s="11"/>
    </row>
    <row r="5">
      <c r="A5" s="5" t="inlineStr">
        <is>
          <t xml:space="preserve">Elemento</t>
        </is>
      </c>
      <c r="B5" s="5" t="inlineStr">
        <is>
          <t xml:space="preserve">Columna</t>
        </is>
      </c>
      <c r="C5" s="5"/>
      <c r="D5" s="5" t="inlineStr">
        <is>
          <t xml:space="preserve">Dato de entrada</t>
        </is>
      </c>
    </row>
    <row r="6">
      <c r="A6" s="5" t="inlineStr">
        <is>
          <t xml:space="preserve">Largo</t>
        </is>
      </c>
      <c r="B6" s="7">
        <v>0.3</v>
      </c>
      <c r="C6" s="5" t="inlineStr">
        <is>
          <t xml:space="preserve">m</t>
        </is>
      </c>
      <c r="D6" s="5" t="inlineStr">
        <is>
          <t xml:space="preserve">Dato de entrada</t>
        </is>
      </c>
    </row>
    <row r="7">
      <c r="A7" s="5" t="inlineStr">
        <is>
          <t xml:space="preserve">Ancho</t>
        </is>
      </c>
      <c r="B7" s="7">
        <v>0.3</v>
      </c>
      <c r="C7" s="5" t="inlineStr">
        <is>
          <t xml:space="preserve">m</t>
        </is>
      </c>
      <c r="D7" s="5" t="inlineStr">
        <is>
          <t xml:space="preserve">Dato de entrada</t>
        </is>
      </c>
    </row>
    <row r="8">
      <c r="A8" s="5" t="inlineStr">
        <is>
          <t xml:space="preserve">Alto o espesor</t>
        </is>
      </c>
      <c r="B8" s="7">
        <v>3</v>
      </c>
      <c r="C8" s="5" t="inlineStr">
        <is>
          <t xml:space="preserve">m</t>
        </is>
      </c>
      <c r="D8" s="5" t="inlineStr">
        <is>
          <t xml:space="preserve">Dato de entrada</t>
        </is>
      </c>
    </row>
    <row r="9">
      <c r="A9" s="5" t="inlineStr">
        <is>
          <t xml:space="preserve">Cantidad</t>
        </is>
      </c>
      <c r="B9" s="7">
        <v>4</v>
      </c>
      <c r="C9" s="5" t="inlineStr">
        <is>
          <t xml:space="preserve">und</t>
        </is>
      </c>
      <c r="D9" s="5" t="inlineStr">
        <is>
          <t xml:space="preserve">Dato de entrada</t>
        </is>
      </c>
    </row>
    <row r="10">
      <c r="A10" s="5" t="inlineStr">
        <is>
          <t xml:space="preserve">Separación libre entre barras</t>
        </is>
      </c>
      <c r="B10" s="7">
        <v>5</v>
      </c>
      <c r="C10" s="5" t="inlineStr">
        <is>
          <t xml:space="preserve">cm</t>
        </is>
      </c>
      <c r="D10" s="5" t="inlineStr">
        <is>
          <t xml:space="preserve">Dato de entrada</t>
        </is>
      </c>
    </row>
    <row r="11">
      <c r="A11" s="5" t="inlineStr">
        <is>
          <t xml:space="preserve">f'c (kg/cm²)</t>
        </is>
      </c>
      <c r="B11" s="7">
        <v>210</v>
      </c>
      <c r="C11" s="5"/>
      <c r="D11" s="5" t="inlineStr">
        <is>
          <t xml:space="preserve">Dato de entrada</t>
        </is>
      </c>
    </row>
    <row r="12">
      <c r="A12" s="5" t="inlineStr">
        <is>
          <t xml:space="preserve">Proporción C:A:G</t>
        </is>
      </c>
      <c r="B12" s="5" t="inlineStr">
        <is>
          <t xml:space="preserve">1:2:3</t>
        </is>
      </c>
      <c r="C12" s="5"/>
      <c r="D12" s="5" t="inlineStr">
        <is>
          <t xml:space="preserve">Dato de entrada</t>
        </is>
      </c>
    </row>
    <row r="13">
      <c r="A13" s="5" t="inlineStr">
        <is>
          <t xml:space="preserve">Relación agua/cemento (a/c)</t>
        </is>
      </c>
      <c r="B13" s="7">
        <v>0.5</v>
      </c>
      <c r="C13" s="5"/>
      <c r="D13" s="5" t="inlineStr">
        <is>
          <t xml:space="preserve">Dato de entrada</t>
        </is>
      </c>
    </row>
    <row r="14">
      <c r="A14" s="5" t="inlineStr">
        <is>
          <t xml:space="preserve">Saco de cemento (kg)</t>
        </is>
      </c>
      <c r="B14" s="7">
        <v>50</v>
      </c>
      <c r="C14" s="5"/>
      <c r="D14" s="5" t="inlineStr">
        <is>
          <t xml:space="preserve">Dato de entrada</t>
        </is>
      </c>
    </row>
    <row r="15">
      <c r="A15" s="5" t="inlineStr">
        <is>
          <t xml:space="preserve">Piedra picada</t>
        </is>
      </c>
      <c r="B15" s="5" t="inlineStr">
        <is>
          <t xml:space="preserve">Recomendada</t>
        </is>
      </c>
      <c r="C15" s="5"/>
      <c r="D15" s="5" t="inlineStr">
        <is>
          <t xml:space="preserve">Dato de entrada</t>
        </is>
      </c>
    </row>
    <row r="16">
      <c r="A16" s="5" t="inlineStr">
        <is>
          <t xml:space="preserve">Tipo de concreto</t>
        </is>
      </c>
      <c r="B16" s="5" t="inlineStr">
        <is>
          <t xml:space="preserve">Hecho en obra</t>
        </is>
      </c>
      <c r="C16" s="5"/>
      <c r="D16" s="5" t="inlineStr">
        <is>
          <t xml:space="preserve">Dato de entrada</t>
        </is>
      </c>
    </row>
    <row r="17">
      <c r="A17" s="5" t="inlineStr">
        <is>
          <t xml:space="preserve">Desperdicio</t>
        </is>
      </c>
      <c r="B17" s="7">
        <v>5</v>
      </c>
      <c r="C17" s="5" t="inlineStr">
        <is>
          <t xml:space="preserve">%</t>
        </is>
      </c>
      <c r="D17" s="5" t="inlineStr">
        <is>
          <t xml:space="preserve">Dato de entrada</t>
        </is>
      </c>
    </row>
    <row r="18">
      <c r="A18" s="5" t="inlineStr">
        <is>
          <t xml:space="preserve">Partes de cemento</t>
        </is>
      </c>
      <c r="B18" s="7">
        <v>1</v>
      </c>
      <c r="C18" s="5"/>
      <c r="D18" s="5" t="inlineStr">
        <is>
          <t xml:space="preserve">Dato de entrada</t>
        </is>
      </c>
    </row>
    <row r="19">
      <c r="A19" s="5" t="inlineStr">
        <is>
          <t xml:space="preserve">Partes de arena</t>
        </is>
      </c>
      <c r="B19" s="7">
        <v>2</v>
      </c>
      <c r="C19" s="5"/>
      <c r="D19" s="5" t="inlineStr">
        <is>
          <t xml:space="preserve">Dato de entrada</t>
        </is>
      </c>
    </row>
    <row r="20">
      <c r="A20" s="5" t="inlineStr">
        <is>
          <t xml:space="preserve">Partes de grava</t>
        </is>
      </c>
      <c r="B20" s="7">
        <v>3</v>
      </c>
      <c r="C20" s="5"/>
      <c r="D20" s="5" t="inlineStr">
        <is>
          <t xml:space="preserve">Dato de entrada</t>
        </is>
      </c>
    </row>
    <row r="21">
      <c r="A21" s="3" t="inlineStr">
        <is>
          <t xml:space="preserve">Resultados</t>
        </is>
      </c>
      <c r="B21" s="3"/>
      <c r="C21" s="3"/>
      <c r="D21" s="3"/>
    </row>
    <row r="22">
      <c r="A22" s="5" t="inlineStr">
        <is>
          <t xml:space="preserve">Volumen neto</t>
        </is>
      </c>
      <c r="B22" s="6">
        <f>$B$6*$B$7*$B$8*$B$9</f>
        <v>1.08</v>
      </c>
      <c r="C22" s="5" t="inlineStr">
        <is>
          <t xml:space="preserve">m³</t>
        </is>
      </c>
      <c r="D22" s="5" t="inlineStr">
        <is>
          <t xml:space="preserve">Largo × Ancho × Alto × Cantidad</t>
        </is>
      </c>
    </row>
    <row r="23">
      <c r="A23" s="5" t="inlineStr">
        <is>
          <t xml:space="preserve">Volumen con desperdicio</t>
        </is>
      </c>
      <c r="B23" s="6">
        <f>B22*(1+$B$17/100)</f>
        <v>1.1340000000000001</v>
      </c>
      <c r="C23" s="5" t="inlineStr">
        <is>
          <t xml:space="preserve">m³</t>
        </is>
      </c>
      <c r="D23" s="5" t="inlineStr">
        <is>
          <t xml:space="preserve">Volumen neto × (1 + desperdicio/100)</t>
        </is>
      </c>
    </row>
    <row r="24">
      <c r="A24" s="5" t="inlineStr">
        <is>
          <t xml:space="preserve">Volumen suelto</t>
        </is>
      </c>
      <c r="B24" s="6">
        <f>B23*1.55</f>
        <v>1.7577000000000003</v>
      </c>
      <c r="C24" s="5" t="inlineStr">
        <is>
          <t xml:space="preserve">m³</t>
        </is>
      </c>
      <c r="D24" s="5" t="inlineStr">
        <is>
          <t xml:space="preserve">V × 1,55 (corrige a material suelto)</t>
        </is>
      </c>
    </row>
    <row r="25">
      <c r="A25" s="5" t="inlineStr">
        <is>
          <t xml:space="preserve">Cemento</t>
        </is>
      </c>
      <c r="B25" s="6">
        <f>B24*$B$18/($B$18+$B$19+$B$20)*1440</f>
        <v>421.84800000000007</v>
      </c>
      <c r="C25" s="5" t="inlineStr">
        <is>
          <t xml:space="preserve">kg</t>
        </is>
      </c>
      <c r="D25" s="5" t="inlineStr">
        <is>
          <t xml:space="preserve">Vseco × C/(C+A+G) × 1440 kg/m³</t>
        </is>
      </c>
    </row>
    <row r="26">
      <c r="A26" s="5" t="inlineStr">
        <is>
          <t xml:space="preserve">Sacos de cemento</t>
        </is>
      </c>
      <c r="B26" s="12">
        <f>B25/$B$14</f>
        <v>8.436960000000001</v>
      </c>
      <c r="C26" s="5" t="inlineStr">
        <is>
          <t xml:space="preserve">sacos</t>
        </is>
      </c>
      <c r="D26" s="5" t="inlineStr">
        <is>
          <t xml:space="preserve">Cemento (kg) ÷ kg por saco</t>
        </is>
      </c>
    </row>
    <row r="27">
      <c r="A27" s="5" t="inlineStr">
        <is>
          <t xml:space="preserve">Arena</t>
        </is>
      </c>
      <c r="B27" s="6">
        <f>B24*$B$19/($B$18+$B$19+$B$20)</f>
        <v>0.5859000000000001</v>
      </c>
      <c r="C27" s="5" t="inlineStr">
        <is>
          <t xml:space="preserve">m³</t>
        </is>
      </c>
      <c r="D27" s="5" t="inlineStr">
        <is>
          <t xml:space="preserve">Vseco × A/(C+A+G)</t>
        </is>
      </c>
    </row>
    <row r="28">
      <c r="A28" s="5" t="inlineStr">
        <is>
          <t xml:space="preserve">Grava / piedra picada</t>
        </is>
      </c>
      <c r="B28" s="6">
        <f>B24*$B$20/($B$18+$B$19+$B$20)</f>
        <v>0.8788500000000002</v>
      </c>
      <c r="C28" s="5" t="inlineStr">
        <is>
          <t xml:space="preserve">m³</t>
        </is>
      </c>
      <c r="D28" s="5" t="inlineStr">
        <is>
          <t xml:space="preserve">Vseco × G/(C+A+G)</t>
        </is>
      </c>
    </row>
    <row r="29">
      <c r="A29" s="5" t="inlineStr">
        <is>
          <t xml:space="preserve">Agua</t>
        </is>
      </c>
      <c r="B29" s="6">
        <f>B25*$B$13</f>
        <v>210.92400000000004</v>
      </c>
      <c r="C29" s="5" t="inlineStr">
        <is>
          <t xml:space="preserve">L</t>
        </is>
      </c>
      <c r="D29" s="5" t="inlineStr">
        <is>
          <t xml:space="preserve">Cemento (kg) × relación a/c</t>
        </is>
      </c>
    </row>
    <row r="30"/>
    <row r="31">
      <c r="A31" s="11" t="inlineStr">
        <is>
          <t xml:space="preserve">2. Acero ø 1/2" · 107,53 kg — Acero ø 1/2": 100 m</t>
        </is>
      </c>
      <c r="B31" s="11"/>
      <c r="C31" s="11"/>
      <c r="D31" s="11"/>
    </row>
    <row r="32">
      <c r="A32" s="5" t="inlineStr">
        <is>
          <t xml:space="preserve">Método</t>
        </is>
      </c>
      <c r="B32" s="5" t="inlineStr">
        <is>
          <t xml:space="preserve">Por metros lineales</t>
        </is>
      </c>
      <c r="C32" s="5"/>
      <c r="D32" s="5" t="inlineStr">
        <is>
          <t xml:space="preserve">Dato de entrada</t>
        </is>
      </c>
    </row>
    <row r="33">
      <c r="A33" s="5" t="inlineStr">
        <is>
          <t xml:space="preserve">Diámetro de cabilla (pulg.)</t>
        </is>
      </c>
      <c r="B33" s="5" t="inlineStr">
        <is>
          <t xml:space="preserve">Recomendada</t>
        </is>
      </c>
      <c r="C33" s="5"/>
      <c r="D33" s="5" t="inlineStr">
        <is>
          <t xml:space="preserve">Dato de entrada</t>
        </is>
      </c>
    </row>
    <row r="34">
      <c r="A34" s="5" t="inlineStr">
        <is>
          <t xml:space="preserve">Metros lineales (método 1)</t>
        </is>
      </c>
      <c r="B34" s="7">
        <v>100</v>
      </c>
      <c r="C34" s="5" t="inlineStr">
        <is>
          <t xml:space="preserve">m</t>
        </is>
      </c>
      <c r="D34" s="5" t="inlineStr">
        <is>
          <t xml:space="preserve">Dato de entrada</t>
        </is>
      </c>
    </row>
    <row r="35">
      <c r="A35" s="5" t="inlineStr">
        <is>
          <t xml:space="preserve">Elemento (método 2)</t>
        </is>
      </c>
      <c r="B35" s="5" t="inlineStr">
        <is>
          <t xml:space="preserve">Columna</t>
        </is>
      </c>
      <c r="C35" s="5"/>
      <c r="D35" s="5" t="inlineStr">
        <is>
          <t xml:space="preserve">Dato de entrada</t>
        </is>
      </c>
    </row>
    <row r="36">
      <c r="A36" s="5" t="inlineStr">
        <is>
          <t xml:space="preserve">Volumen de concreto (método 2)</t>
        </is>
      </c>
      <c r="B36" s="7">
        <v>1</v>
      </c>
      <c r="C36" s="5" t="inlineStr">
        <is>
          <t xml:space="preserve">m³</t>
        </is>
      </c>
      <c r="D36" s="5" t="inlineStr">
        <is>
          <t xml:space="preserve">Dato de entrada</t>
        </is>
      </c>
    </row>
    <row r="37">
      <c r="A37" s="5" t="inlineStr">
        <is>
          <t xml:space="preserve">Largo de la varilla</t>
        </is>
      </c>
      <c r="B37" s="7">
        <v>12</v>
      </c>
      <c r="C37" s="5" t="inlineStr">
        <is>
          <t xml:space="preserve">m</t>
        </is>
      </c>
      <c r="D37" s="5" t="inlineStr">
        <is>
          <t xml:space="preserve">Dato de entrada</t>
        </is>
      </c>
    </row>
    <row r="38">
      <c r="A38" s="5" t="inlineStr">
        <is>
          <t xml:space="preserve">Traslapes y desperdicio</t>
        </is>
      </c>
      <c r="B38" s="7">
        <v>8</v>
      </c>
      <c r="C38" s="5" t="inlineStr">
        <is>
          <t xml:space="preserve">%</t>
        </is>
      </c>
      <c r="D38" s="5" t="inlineStr">
        <is>
          <t xml:space="preserve">Dato de entrada</t>
        </is>
      </c>
    </row>
    <row r="39">
      <c r="A39" s="5" t="inlineStr">
        <is>
          <t xml:space="preserve">Cabilla a usar</t>
        </is>
      </c>
      <c r="B39" s="5" t="inlineStr">
        <is>
          <t xml:space="preserve">ø 1/2"</t>
        </is>
      </c>
      <c r="C39" s="5"/>
      <c r="D39" s="5" t="inlineStr">
        <is>
          <t xml:space="preserve">Dato de entrada</t>
        </is>
      </c>
    </row>
    <row r="40">
      <c r="A40" s="5" t="inlineStr">
        <is>
          <t xml:space="preserve">Diámetro de la cabilla</t>
        </is>
      </c>
      <c r="B40" s="7">
        <v>12.7</v>
      </c>
      <c r="C40" s="5" t="inlineStr">
        <is>
          <t xml:space="preserve">mm</t>
        </is>
      </c>
      <c r="D40" s="5" t="inlineStr">
        <is>
          <t xml:space="preserve">Dato de entrada</t>
        </is>
      </c>
    </row>
    <row r="41">
      <c r="A41" s="3" t="inlineStr">
        <is>
          <t xml:space="preserve">Resultados</t>
        </is>
      </c>
      <c r="B41" s="3"/>
      <c r="C41" s="3"/>
      <c r="D41" s="3"/>
    </row>
    <row r="42">
      <c r="A42" s="5" t="inlineStr">
        <is>
          <t xml:space="preserve">Peso por metro</t>
        </is>
      </c>
      <c r="B42" s="6">
        <f>$B$40^2/162</f>
        <v>0.9956172839506172</v>
      </c>
      <c r="C42" s="5" t="inlineStr">
        <is>
          <t xml:space="preserve">kg/m</t>
        </is>
      </c>
      <c r="D42" s="5" t="inlineStr">
        <is>
          <t xml:space="preserve">d² (mm) ÷ 162</t>
        </is>
      </c>
    </row>
    <row r="43">
      <c r="A43" s="5" t="inlineStr">
        <is>
          <t xml:space="preserve">Peso total</t>
        </is>
      </c>
      <c r="B43" s="6">
        <f>B42*$B$34*(1+$B$38/100)</f>
        <v>107.52666666666667</v>
      </c>
      <c r="C43" s="5" t="inlineStr">
        <is>
          <t xml:space="preserve">kg</t>
        </is>
      </c>
      <c r="D43" s="5" t="inlineStr">
        <is>
          <t xml:space="preserve">Peso por metro × metros × (1+traslapes)</t>
        </is>
      </c>
    </row>
    <row r="44">
      <c r="A44" s="5" t="inlineStr">
        <is>
          <t xml:space="preserve">Longitud con desperdicio</t>
        </is>
      </c>
      <c r="B44" s="6">
        <f>B43/B42</f>
        <v>108.00000000000001</v>
      </c>
      <c r="C44" s="5" t="inlineStr">
        <is>
          <t xml:space="preserve">m</t>
        </is>
      </c>
      <c r="D44" s="5" t="inlineStr">
        <is>
          <t xml:space="preserve">Peso total ÷ peso por metro</t>
        </is>
      </c>
    </row>
    <row r="45">
      <c r="A45" s="5" t="inlineStr">
        <is>
          <t xml:space="preserve">Cabillas comerciales</t>
        </is>
      </c>
      <c r="B45" s="12">
        <f>ROUNDUP(B44/$B$37,0)</f>
        <v>9</v>
      </c>
      <c r="C45" s="5" t="inlineStr">
        <is>
          <t xml:space="preserve">und</t>
        </is>
      </c>
      <c r="D45" s="5" t="inlineStr">
        <is>
          <t xml:space="preserve">Longitud ÷ largo de la varilla (hacia arriba)</t>
        </is>
      </c>
    </row>
    <row r="46"/>
    <row r="47">
      <c r="A47" s="11" t="inlineStr">
        <is>
          <t xml:space="preserve">3. Bloques — Bloque de concreto de 15 cm, 26 m² netos</t>
        </is>
      </c>
      <c r="B47" s="11"/>
      <c r="C47" s="11"/>
      <c r="D47" s="11"/>
    </row>
    <row r="48">
      <c r="A48" s="5" t="inlineStr">
        <is>
          <t xml:space="preserve">Tipo de bloque</t>
        </is>
      </c>
      <c r="B48" s="5" t="inlineStr">
        <is>
          <t xml:space="preserve">Bloque de concreto (COVENIN 42-82)</t>
        </is>
      </c>
      <c r="C48" s="5"/>
      <c r="D48" s="5" t="inlineStr">
        <is>
          <t xml:space="preserve">Dato de entrada</t>
        </is>
      </c>
    </row>
    <row r="49">
      <c r="A49" s="5" t="inlineStr">
        <is>
          <t xml:space="preserve">Área del muro</t>
        </is>
      </c>
      <c r="B49" s="7">
        <v>30</v>
      </c>
      <c r="C49" s="5" t="inlineStr">
        <is>
          <t xml:space="preserve">m²</t>
        </is>
      </c>
      <c r="D49" s="5" t="inlineStr">
        <is>
          <t xml:space="preserve">Dato de entrada</t>
        </is>
      </c>
    </row>
    <row r="50">
      <c r="A50" s="5" t="inlineStr">
        <is>
          <t xml:space="preserve">Vanos (puertas y ventanas)</t>
        </is>
      </c>
      <c r="B50" s="7">
        <v>4</v>
      </c>
      <c r="C50" s="5" t="inlineStr">
        <is>
          <t xml:space="preserve">m²</t>
        </is>
      </c>
      <c r="D50" s="5" t="inlineStr">
        <is>
          <t xml:space="preserve">Dato de entrada</t>
        </is>
      </c>
    </row>
    <row r="51">
      <c r="A51" s="5" t="inlineStr">
        <is>
          <t xml:space="preserve">Espesor (cm)</t>
        </is>
      </c>
      <c r="B51" s="7">
        <v>15</v>
      </c>
      <c r="C51" s="5"/>
      <c r="D51" s="5" t="inlineStr">
        <is>
          <t xml:space="preserve">Dato de entrada</t>
        </is>
      </c>
    </row>
    <row r="52">
      <c r="A52" s="5" t="inlineStr">
        <is>
          <t xml:space="preserve">Largo real (cm, 0 = el del tipo)</t>
        </is>
      </c>
      <c r="B52" s="7">
        <v>0</v>
      </c>
      <c r="C52" s="5"/>
      <c r="D52" s="5" t="inlineStr">
        <is>
          <t xml:space="preserve">Dato de entrada</t>
        </is>
      </c>
    </row>
    <row r="53">
      <c r="A53" s="5" t="inlineStr">
        <is>
          <t xml:space="preserve">Alto real (cm, 0 = el del tipo)</t>
        </is>
      </c>
      <c r="B53" s="7">
        <v>0</v>
      </c>
      <c r="C53" s="5"/>
      <c r="D53" s="5" t="inlineStr">
        <is>
          <t xml:space="preserve">Dato de entrada</t>
        </is>
      </c>
    </row>
    <row r="54">
      <c r="A54" s="5" t="inlineStr">
        <is>
          <t xml:space="preserve">Junta</t>
        </is>
      </c>
      <c r="B54" s="7">
        <v>1</v>
      </c>
      <c r="C54" s="5" t="inlineStr">
        <is>
          <t xml:space="preserve">cm</t>
        </is>
      </c>
      <c r="D54" s="5" t="inlineStr">
        <is>
          <t xml:space="preserve">Dato de entrada</t>
        </is>
      </c>
    </row>
    <row r="55">
      <c r="A55" s="5" t="inlineStr">
        <is>
          <t xml:space="preserve">Rotura y corte</t>
        </is>
      </c>
      <c r="B55" s="7">
        <v>5</v>
      </c>
      <c r="C55" s="5" t="inlineStr">
        <is>
          <t xml:space="preserve">%</t>
        </is>
      </c>
      <c r="D55" s="5" t="inlineStr">
        <is>
          <t xml:space="preserve">Dato de entrada</t>
        </is>
      </c>
    </row>
    <row r="56">
      <c r="A56" s="5" t="inlineStr">
        <is>
          <t xml:space="preserve">Largo real del bloque</t>
        </is>
      </c>
      <c r="B56" s="7">
        <v>39</v>
      </c>
      <c r="C56" s="5" t="inlineStr">
        <is>
          <t xml:space="preserve">cm</t>
        </is>
      </c>
      <c r="D56" s="5" t="inlineStr">
        <is>
          <t xml:space="preserve">Dato de entrada</t>
        </is>
      </c>
    </row>
    <row r="57">
      <c r="A57" s="5" t="inlineStr">
        <is>
          <t xml:space="preserve">Alto real del bloque</t>
        </is>
      </c>
      <c r="B57" s="7">
        <v>19</v>
      </c>
      <c r="C57" s="5" t="inlineStr">
        <is>
          <t xml:space="preserve">cm</t>
        </is>
      </c>
      <c r="D57" s="5" t="inlineStr">
        <is>
          <t xml:space="preserve">Dato de entrada</t>
        </is>
      </c>
    </row>
    <row r="58">
      <c r="A58" s="5" t="inlineStr">
        <is>
          <t xml:space="preserve">Sacos de cemento por m³ de mortero 1:4</t>
        </is>
      </c>
      <c r="B58" s="7">
        <v>9</v>
      </c>
      <c r="C58" s="5" t="inlineStr">
        <is>
          <t xml:space="preserve">sacos/m³</t>
        </is>
      </c>
      <c r="D58" s="5" t="inlineStr">
        <is>
          <t xml:space="preserve">Dato de entrada</t>
        </is>
      </c>
    </row>
    <row r="59">
      <c r="A59" s="5" t="inlineStr">
        <is>
          <t xml:space="preserve">Arena por m³ de mortero 1:4</t>
        </is>
      </c>
      <c r="B59" s="7">
        <v>1.05</v>
      </c>
      <c r="C59" s="5" t="inlineStr">
        <is>
          <t xml:space="preserve">m³/m³</t>
        </is>
      </c>
      <c r="D59" s="5" t="inlineStr">
        <is>
          <t xml:space="preserve">Dato de entrada</t>
        </is>
      </c>
    </row>
    <row r="60">
      <c r="A60" s="3" t="inlineStr">
        <is>
          <t xml:space="preserve">Resultados</t>
        </is>
      </c>
      <c r="B60" s="3"/>
      <c r="C60" s="3"/>
      <c r="D60" s="3"/>
    </row>
    <row r="61">
      <c r="A61" s="5" t="inlineStr">
        <is>
          <t xml:space="preserve">Área neta</t>
        </is>
      </c>
      <c r="B61" s="6">
        <f>MAX($B$49-$B$50,0)</f>
        <v>26</v>
      </c>
      <c r="C61" s="5" t="inlineStr">
        <is>
          <t xml:space="preserve">m²</t>
        </is>
      </c>
      <c r="D61" s="5" t="inlineStr">
        <is>
          <t xml:space="preserve">Área del muro − vanos</t>
        </is>
      </c>
    </row>
    <row r="62">
      <c r="A62" s="5" t="inlineStr">
        <is>
          <t xml:space="preserve">Piezas por m²</t>
        </is>
      </c>
      <c r="B62" s="12">
        <f>1/((($B$56+$B$54)/100)*(($B$57+$B$54)/100))</f>
        <v>12.499999999999998</v>
      </c>
      <c r="C62" s="5" t="inlineStr">
        <is>
          <t xml:space="preserve">und</t>
        </is>
      </c>
      <c r="D62" s="5" t="inlineStr">
        <is>
          <t xml:space="preserve">1 ÷ ((largo+junta) × (alto+junta))</t>
        </is>
      </c>
    </row>
    <row r="63">
      <c r="A63" s="5" t="inlineStr">
        <is>
          <t xml:space="preserve">Piezas totales</t>
        </is>
      </c>
      <c r="B63" s="12">
        <f>ROUNDUP(B61*B62*(1+$B$55/100),0)</f>
        <v>342</v>
      </c>
      <c r="C63" s="5" t="inlineStr">
        <is>
          <t xml:space="preserve">und</t>
        </is>
      </c>
      <c r="D63" s="5" t="inlineStr">
        <is>
          <t xml:space="preserve">Área neta × piezas/m² × (1+rotura)</t>
        </is>
      </c>
    </row>
    <row r="64">
      <c r="A64" s="5" t="inlineStr">
        <is>
          <t xml:space="preserve">Mortero de pega</t>
        </is>
      </c>
      <c r="B64" s="6">
        <f>B61*($B$51/100)*(1-B62*($B$56/100)*($B$57/100))*(1+$B$55/100)</f>
        <v>0.30200625000000086</v>
      </c>
      <c r="C64" s="5" t="inlineStr">
        <is>
          <t xml:space="preserve">m³</t>
        </is>
      </c>
      <c r="D64" s="5" t="inlineStr">
        <is>
          <t xml:space="preserve">Área × espesor × (1 − volumen de bloques) × (1+merma)</t>
        </is>
      </c>
    </row>
    <row r="65">
      <c r="A65" s="5" t="inlineStr">
        <is>
          <t xml:space="preserve">Cemento</t>
        </is>
      </c>
      <c r="B65" s="12">
        <f>B64*$B$58</f>
        <v>2.7180562500000076</v>
      </c>
      <c r="C65" s="5" t="inlineStr">
        <is>
          <t xml:space="preserve">sacos</t>
        </is>
      </c>
      <c r="D65" s="5" t="inlineStr">
        <is>
          <t xml:space="preserve">Mortero × sacos por m³</t>
        </is>
      </c>
    </row>
    <row r="66">
      <c r="A66" s="5" t="inlineStr">
        <is>
          <t xml:space="preserve">Arena</t>
        </is>
      </c>
      <c r="B66" s="6">
        <f>B64*$B$59</f>
        <v>0.3171065625000009</v>
      </c>
      <c r="C66" s="5" t="inlineStr">
        <is>
          <t xml:space="preserve">m³</t>
        </is>
      </c>
      <c r="D66" s="5" t="inlineStr">
        <is>
          <t xml:space="preserve">Mortero × arena por m³</t>
        </is>
      </c>
    </row>
    <row r="67"/>
    <row r="68">
      <c r="A68" s="11" t="inlineStr">
        <is>
          <t xml:space="preserve">4. Friso — Friso interno 1:4: 50 m² × 2 cm</t>
        </is>
      </c>
      <c r="B68" s="11"/>
      <c r="C68" s="11"/>
      <c r="D68" s="11"/>
    </row>
    <row r="69">
      <c r="A69" s="5" t="inlineStr">
        <is>
          <t xml:space="preserve">Aplicación</t>
        </is>
      </c>
      <c r="B69" s="5" t="inlineStr">
        <is>
          <t xml:space="preserve">Friso interno</t>
        </is>
      </c>
      <c r="C69" s="5"/>
      <c r="D69" s="5" t="inlineStr">
        <is>
          <t xml:space="preserve">Dato de entrada</t>
        </is>
      </c>
    </row>
    <row r="70">
      <c r="A70" s="5" t="inlineStr">
        <is>
          <t xml:space="preserve">Área</t>
        </is>
      </c>
      <c r="B70" s="7">
        <v>50</v>
      </c>
      <c r="C70" s="5" t="inlineStr">
        <is>
          <t xml:space="preserve">m²</t>
        </is>
      </c>
      <c r="D70" s="5" t="inlineStr">
        <is>
          <t xml:space="preserve">Dato de entrada</t>
        </is>
      </c>
    </row>
    <row r="71">
      <c r="A71" s="5" t="inlineStr">
        <is>
          <t xml:space="preserve">Espesor</t>
        </is>
      </c>
      <c r="B71" s="7">
        <v>2</v>
      </c>
      <c r="C71" s="5" t="inlineStr">
        <is>
          <t xml:space="preserve">cm</t>
        </is>
      </c>
      <c r="D71" s="5" t="inlineStr">
        <is>
          <t xml:space="preserve">Dato de entrada</t>
        </is>
      </c>
    </row>
    <row r="72">
      <c r="A72" s="5" t="inlineStr">
        <is>
          <t xml:space="preserve">Mortero cemento:arena</t>
        </is>
      </c>
      <c r="B72" s="5" t="inlineStr">
        <is>
          <t xml:space="preserve">1:4</t>
        </is>
      </c>
      <c r="C72" s="5"/>
      <c r="D72" s="5" t="inlineStr">
        <is>
          <t xml:space="preserve">Dato de entrada</t>
        </is>
      </c>
    </row>
    <row r="73">
      <c r="A73" s="5" t="inlineStr">
        <is>
          <t xml:space="preserve">Rebote y mermas</t>
        </is>
      </c>
      <c r="B73" s="7">
        <v>12</v>
      </c>
      <c r="C73" s="5" t="inlineStr">
        <is>
          <t xml:space="preserve">%</t>
        </is>
      </c>
      <c r="D73" s="5" t="inlineStr">
        <is>
          <t xml:space="preserve">Dato de entrada</t>
        </is>
      </c>
    </row>
    <row r="74">
      <c r="A74" s="5" t="inlineStr">
        <is>
          <t xml:space="preserve">Sacos de cemento por m³ de mortero</t>
        </is>
      </c>
      <c r="B74" s="7">
        <v>9</v>
      </c>
      <c r="C74" s="5" t="inlineStr">
        <is>
          <t xml:space="preserve">sacos/m³</t>
        </is>
      </c>
      <c r="D74" s="5" t="inlineStr">
        <is>
          <t xml:space="preserve">Dato de entrada</t>
        </is>
      </c>
    </row>
    <row r="75">
      <c r="A75" s="5" t="inlineStr">
        <is>
          <t xml:space="preserve">Arena por m³ de mortero</t>
        </is>
      </c>
      <c r="B75" s="7">
        <v>1.05</v>
      </c>
      <c r="C75" s="5" t="inlineStr">
        <is>
          <t xml:space="preserve">m³/m³</t>
        </is>
      </c>
      <c r="D75" s="5" t="inlineStr">
        <is>
          <t xml:space="preserve">Dato de entrada</t>
        </is>
      </c>
    </row>
    <row r="76">
      <c r="A76" s="3" t="inlineStr">
        <is>
          <t xml:space="preserve">Resultados</t>
        </is>
      </c>
      <c r="B76" s="3"/>
      <c r="C76" s="3"/>
      <c r="D76" s="3"/>
    </row>
    <row r="77">
      <c r="A77" s="5" t="inlineStr">
        <is>
          <t xml:space="preserve">Mortero</t>
        </is>
      </c>
      <c r="B77" s="6">
        <f>$B$70*$B$71/100*(1+$B$73/100)</f>
        <v>1.12</v>
      </c>
      <c r="C77" s="5" t="inlineStr">
        <is>
          <t xml:space="preserve">m³</t>
        </is>
      </c>
      <c r="D77" s="5" t="inlineStr">
        <is>
          <t xml:space="preserve">Área × espesor × (1+rebote)</t>
        </is>
      </c>
    </row>
    <row r="78">
      <c r="A78" s="5" t="inlineStr">
        <is>
          <t xml:space="preserve">Cemento</t>
        </is>
      </c>
      <c r="B78" s="12">
        <f>B77*$B$74</f>
        <v>10.080000000000002</v>
      </c>
      <c r="C78" s="5" t="inlineStr">
        <is>
          <t xml:space="preserve">sacos</t>
        </is>
      </c>
      <c r="D78" s="5" t="inlineStr">
        <is>
          <t xml:space="preserve">Mortero × sacos por m³</t>
        </is>
      </c>
    </row>
    <row r="79">
      <c r="A79" s="5" t="inlineStr">
        <is>
          <t xml:space="preserve">Arena</t>
        </is>
      </c>
      <c r="B79" s="6">
        <f>B77*$B$75</f>
        <v>1.1760000000000002</v>
      </c>
      <c r="C79" s="5" t="inlineStr">
        <is>
          <t xml:space="preserve">m³</t>
        </is>
      </c>
      <c r="D79" s="5" t="inlineStr">
        <is>
          <t xml:space="preserve">Mortero × arena por m³</t>
        </is>
      </c>
    </row>
    <row r="80"/>
    <row r="81">
      <c r="A81" s="11" t="inlineStr">
        <is>
          <t xml:space="preserve">5. Impermeabilización — Manto asfáltico en 60 m²</t>
        </is>
      </c>
      <c r="B81" s="11"/>
      <c r="C81" s="11"/>
      <c r="D81" s="11"/>
    </row>
    <row r="82">
      <c r="A82" s="5" t="inlineStr">
        <is>
          <t xml:space="preserve">Área (techo, losa o terraza)</t>
        </is>
      </c>
      <c r="B82" s="7">
        <v>60</v>
      </c>
      <c r="C82" s="5" t="inlineStr">
        <is>
          <t xml:space="preserve">m²</t>
        </is>
      </c>
      <c r="D82" s="5" t="inlineStr">
        <is>
          <t xml:space="preserve">Dato de entrada</t>
        </is>
      </c>
    </row>
    <row r="83">
      <c r="A83" s="5" t="inlineStr">
        <is>
          <t xml:space="preserve">Solapes</t>
        </is>
      </c>
      <c r="B83" s="7">
        <v>11</v>
      </c>
      <c r="C83" s="5" t="inlineStr">
        <is>
          <t xml:space="preserve">%</t>
        </is>
      </c>
      <c r="D83" s="5" t="inlineStr">
        <is>
          <t xml:space="preserve">Dato de entrada</t>
        </is>
      </c>
    </row>
    <row r="84">
      <c r="A84" s="5" t="inlineStr">
        <is>
          <t xml:space="preserve">Área por rollo</t>
        </is>
      </c>
      <c r="B84" s="7">
        <v>10</v>
      </c>
      <c r="C84" s="5" t="inlineStr">
        <is>
          <t xml:space="preserve">m²</t>
        </is>
      </c>
      <c r="D84" s="5" t="inlineStr">
        <is>
          <t xml:space="preserve">Dato de entrada</t>
        </is>
      </c>
    </row>
    <row r="85">
      <c r="A85" s="5" t="inlineStr">
        <is>
          <t xml:space="preserve">Rendimiento del primer</t>
        </is>
      </c>
      <c r="B85" s="7">
        <v>5</v>
      </c>
      <c r="C85" s="5" t="inlineStr">
        <is>
          <t xml:space="preserve">m²/L</t>
        </is>
      </c>
      <c r="D85" s="5" t="inlineStr">
        <is>
          <t xml:space="preserve">Dato de entrada</t>
        </is>
      </c>
    </row>
    <row r="86">
      <c r="A86" s="3" t="inlineStr">
        <is>
          <t xml:space="preserve">Resultados</t>
        </is>
      </c>
      <c r="B86" s="3"/>
      <c r="C86" s="3"/>
      <c r="D86" s="3"/>
    </row>
    <row r="87">
      <c r="A87" s="5" t="inlineStr">
        <is>
          <t xml:space="preserve">Manto con solapes</t>
        </is>
      </c>
      <c r="B87" s="6">
        <f>$B$82*(1+$B$83/100)</f>
        <v>66.60000000000001</v>
      </c>
      <c r="C87" s="5" t="inlineStr">
        <is>
          <t xml:space="preserve">m²</t>
        </is>
      </c>
      <c r="D87" s="5" t="inlineStr">
        <is>
          <t xml:space="preserve">Área × (1+solape)</t>
        </is>
      </c>
    </row>
    <row r="88">
      <c r="A88" s="5" t="inlineStr">
        <is>
          <t xml:space="preserve">Rollos</t>
        </is>
      </c>
      <c r="B88" s="12">
        <f>IF($B$84&gt;0,ROUNDUP(B87/$B$84,0),0)</f>
        <v>7</v>
      </c>
      <c r="C88" s="5" t="inlineStr">
        <is>
          <t xml:space="preserve">und</t>
        </is>
      </c>
      <c r="D88" s="5" t="inlineStr">
        <is>
          <t xml:space="preserve">Manto ÷ área por rollo (hacia arriba)</t>
        </is>
      </c>
    </row>
    <row r="89">
      <c r="A89" s="5" t="inlineStr">
        <is>
          <t xml:space="preserve">Primer asfáltico</t>
        </is>
      </c>
      <c r="B89" s="6">
        <f>IF($B$85&gt;0,$B$82/$B$85,0)</f>
        <v>12</v>
      </c>
      <c r="C89" s="5" t="inlineStr">
        <is>
          <t xml:space="preserve">L</t>
        </is>
      </c>
      <c r="D89" s="5" t="inlineStr">
        <is>
          <t xml:space="preserve">Área ÷ rendimiento</t>
        </is>
      </c>
    </row>
    <row r="90">
      <c r="A90" s="5" t="inlineStr">
        <is>
          <t xml:space="preserve">Galones de primer</t>
        </is>
      </c>
      <c r="B90" s="6">
        <f>B89/3.785</f>
        <v>3.1704095112285335</v>
      </c>
      <c r="C90" s="5" t="inlineStr">
        <is>
          <t xml:space="preserve">gal</t>
        </is>
      </c>
      <c r="D90" s="5" t="inlineStr">
        <is>
          <t xml:space="preserve">Litros ÷ 3,785</t>
        </is>
      </c>
    </row>
    <row r="91"/>
    <row r="92">
      <c r="A92" s="11" t="inlineStr">
        <is>
          <t xml:space="preserve">6. Pintura — Caucho en paredes: 80 m², 2 manos, friso nuevo</t>
        </is>
      </c>
      <c r="B92" s="11"/>
      <c r="C92" s="11"/>
      <c r="D92" s="11"/>
    </row>
    <row r="93">
      <c r="A93" s="5" t="inlineStr">
        <is>
          <t xml:space="preserve">Destino</t>
        </is>
      </c>
      <c r="B93" s="5" t="inlineStr">
        <is>
          <t xml:space="preserve">Paredes</t>
        </is>
      </c>
      <c r="C93" s="5"/>
      <c r="D93" s="5" t="inlineStr">
        <is>
          <t xml:space="preserve">Dato de entrada</t>
        </is>
      </c>
    </row>
    <row r="94">
      <c r="A94" s="5" t="inlineStr">
        <is>
          <t xml:space="preserve">Área</t>
        </is>
      </c>
      <c r="B94" s="7">
        <v>80</v>
      </c>
      <c r="C94" s="5" t="inlineStr">
        <is>
          <t xml:space="preserve">m²</t>
        </is>
      </c>
      <c r="D94" s="5" t="inlineStr">
        <is>
          <t xml:space="preserve">Dato de entrada</t>
        </is>
      </c>
    </row>
    <row r="95">
      <c r="A95" s="5" t="inlineStr">
        <is>
          <t xml:space="preserve">Superficie</t>
        </is>
      </c>
      <c r="B95" s="5" t="inlineStr">
        <is>
          <t xml:space="preserve">Friso nuevo</t>
        </is>
      </c>
      <c r="C95" s="5"/>
      <c r="D95" s="5" t="inlineStr">
        <is>
          <t xml:space="preserve">Dato de entrada</t>
        </is>
      </c>
    </row>
    <row r="96">
      <c r="A96" s="5" t="inlineStr">
        <is>
          <t xml:space="preserve">Tipo de pintura</t>
        </is>
      </c>
      <c r="B96" s="5" t="inlineStr">
        <is>
          <t xml:space="preserve">Caucho</t>
        </is>
      </c>
      <c r="C96" s="5"/>
      <c r="D96" s="5" t="inlineStr">
        <is>
          <t xml:space="preserve">Dato de entrada</t>
        </is>
      </c>
    </row>
    <row r="97">
      <c r="A97" s="5" t="inlineStr">
        <is>
          <t xml:space="preserve">Manos</t>
        </is>
      </c>
      <c r="B97" s="7">
        <v>2</v>
      </c>
      <c r="C97" s="5"/>
      <c r="D97" s="5" t="inlineStr">
        <is>
          <t xml:space="preserve">Dato de entrada</t>
        </is>
      </c>
    </row>
    <row r="98">
      <c r="A98" s="5" t="inlineStr">
        <is>
          <t xml:space="preserve">Rendimiento (0 = el del tipo)</t>
        </is>
      </c>
      <c r="B98" s="7">
        <v>0</v>
      </c>
      <c r="C98" s="5" t="inlineStr">
        <is>
          <t xml:space="preserve">m²/gal</t>
        </is>
      </c>
      <c r="D98" s="5" t="inlineStr">
        <is>
          <t xml:space="preserve">Dato de entrada</t>
        </is>
      </c>
    </row>
    <row r="99">
      <c r="A99" s="5" t="inlineStr">
        <is>
          <t xml:space="preserve">Salpicaduras y residuos</t>
        </is>
      </c>
      <c r="B99" s="7">
        <v>5</v>
      </c>
      <c r="C99" s="5" t="inlineStr">
        <is>
          <t xml:space="preserve">%</t>
        </is>
      </c>
      <c r="D99" s="5" t="inlineStr">
        <is>
          <t xml:space="preserve">Dato de entrada</t>
        </is>
      </c>
    </row>
    <row r="100">
      <c r="A100" s="5" t="inlineStr">
        <is>
          <t xml:space="preserve">Rendimiento usado</t>
        </is>
      </c>
      <c r="B100" s="7">
        <v>30</v>
      </c>
      <c r="C100" s="5" t="inlineStr">
        <is>
          <t xml:space="preserve">m²/gal</t>
        </is>
      </c>
      <c r="D100" s="5" t="inlineStr">
        <is>
          <t xml:space="preserve">Dato de entrada</t>
        </is>
      </c>
    </row>
    <row r="101">
      <c r="A101" s="5" t="inlineStr">
        <is>
          <t xml:space="preserve">Factor de superficie</t>
        </is>
      </c>
      <c r="B101" s="7">
        <v>0.2</v>
      </c>
      <c r="C101" s="5"/>
      <c r="D101" s="5" t="inlineStr">
        <is>
          <t xml:space="preserve">Dato de entrada</t>
        </is>
      </c>
    </row>
    <row r="102">
      <c r="A102" s="3" t="inlineStr">
        <is>
          <t xml:space="preserve">Resultados</t>
        </is>
      </c>
      <c r="B102" s="3"/>
      <c r="C102" s="3"/>
      <c r="D102" s="3"/>
    </row>
    <row r="103">
      <c r="A103" s="5" t="inlineStr">
        <is>
          <t xml:space="preserve">Pintura necesaria</t>
        </is>
      </c>
      <c r="B103" s="6">
        <f>($B$94*$B$97/$B$100+$B$94/$B$100*$B$101)*(1+$B$99/100)</f>
        <v>6.16</v>
      </c>
      <c r="C103" s="5" t="inlineStr">
        <is>
          <t xml:space="preserve">gal</t>
        </is>
      </c>
      <c r="D103" s="5" t="inlineStr">
        <is>
          <t xml:space="preserve">(Área × manos ÷ rend. + Área ÷ rend. × factor superficie) × (1+merma)</t>
        </is>
      </c>
    </row>
    <row r="104">
      <c r="A104" s="5" t="inlineStr">
        <is>
          <t xml:space="preserve">Equivale a</t>
        </is>
      </c>
      <c r="B104" s="6">
        <f>B103*3.785</f>
        <v>23.3156</v>
      </c>
      <c r="C104" s="5" t="inlineStr">
        <is>
          <t xml:space="preserve">L</t>
        </is>
      </c>
      <c r="D104" s="5" t="inlineStr">
        <is>
          <t xml:space="preserve">Galones × 3,785</t>
        </is>
      </c>
    </row>
    <row r="105"/>
    <row r="106">
      <c r="A106" s="11" t="inlineStr">
        <is>
          <t xml:space="preserve">7. Cerámica — Cerámica 60×60 cm, junta 3 mm, 20 m²</t>
        </is>
      </c>
      <c r="B106" s="11"/>
      <c r="C106" s="11"/>
      <c r="D106" s="11"/>
    </row>
    <row r="107">
      <c r="A107" s="5" t="inlineStr">
        <is>
          <t xml:space="preserve">Área a revestir</t>
        </is>
      </c>
      <c r="B107" s="7">
        <v>20</v>
      </c>
      <c r="C107" s="5" t="inlineStr">
        <is>
          <t xml:space="preserve">m²</t>
        </is>
      </c>
      <c r="D107" s="5" t="inlineStr">
        <is>
          <t xml:space="preserve">Dato de entrada</t>
        </is>
      </c>
    </row>
    <row r="108">
      <c r="A108" s="5" t="inlineStr">
        <is>
          <t xml:space="preserve">Largo de la baldosa</t>
        </is>
      </c>
      <c r="B108" s="7">
        <v>60</v>
      </c>
      <c r="C108" s="5" t="inlineStr">
        <is>
          <t xml:space="preserve">cm</t>
        </is>
      </c>
      <c r="D108" s="5" t="inlineStr">
        <is>
          <t xml:space="preserve">Dato de entrada</t>
        </is>
      </c>
    </row>
    <row r="109">
      <c r="A109" s="5" t="inlineStr">
        <is>
          <t xml:space="preserve">Ancho de la baldosa</t>
        </is>
      </c>
      <c r="B109" s="7">
        <v>60</v>
      </c>
      <c r="C109" s="5" t="inlineStr">
        <is>
          <t xml:space="preserve">cm</t>
        </is>
      </c>
      <c r="D109" s="5" t="inlineStr">
        <is>
          <t xml:space="preserve">Dato de entrada</t>
        </is>
      </c>
    </row>
    <row r="110">
      <c r="A110" s="5" t="inlineStr">
        <is>
          <t xml:space="preserve">Junta</t>
        </is>
      </c>
      <c r="B110" s="7">
        <v>3</v>
      </c>
      <c r="C110" s="5" t="inlineStr">
        <is>
          <t xml:space="preserve">mm</t>
        </is>
      </c>
      <c r="D110" s="5" t="inlineStr">
        <is>
          <t xml:space="preserve">Dato de entrada</t>
        </is>
      </c>
    </row>
    <row r="111">
      <c r="A111" s="5" t="inlineStr">
        <is>
          <t xml:space="preserve">Espesor de la baldosa</t>
        </is>
      </c>
      <c r="B111" s="7">
        <v>8</v>
      </c>
      <c r="C111" s="5" t="inlineStr">
        <is>
          <t xml:space="preserve">mm</t>
        </is>
      </c>
      <c r="D111" s="5" t="inlineStr">
        <is>
          <t xml:space="preserve">Dato de entrada</t>
        </is>
      </c>
    </row>
    <row r="112">
      <c r="A112" s="5" t="inlineStr">
        <is>
          <t xml:space="preserve">Patrón</t>
        </is>
      </c>
      <c r="B112" s="5" t="inlineStr">
        <is>
          <t xml:space="preserve">Recto (5%)</t>
        </is>
      </c>
      <c r="C112" s="5"/>
      <c r="D112" s="5" t="inlineStr">
        <is>
          <t xml:space="preserve">Dato de entrada</t>
        </is>
      </c>
    </row>
    <row r="113">
      <c r="A113" s="5" t="inlineStr">
        <is>
          <t xml:space="preserve">Área por caja</t>
        </is>
      </c>
      <c r="B113" s="7">
        <v>1.44</v>
      </c>
      <c r="C113" s="5" t="inlineStr">
        <is>
          <t xml:space="preserve">m²</t>
        </is>
      </c>
      <c r="D113" s="5" t="inlineStr">
        <is>
          <t xml:space="preserve">Dato de entrada</t>
        </is>
      </c>
    </row>
    <row r="114">
      <c r="A114" s="5" t="inlineStr">
        <is>
          <t xml:space="preserve">Rendimiento del pego</t>
        </is>
      </c>
      <c r="B114" s="7">
        <v>5</v>
      </c>
      <c r="C114" s="5" t="inlineStr">
        <is>
          <t xml:space="preserve">kg/m²</t>
        </is>
      </c>
      <c r="D114" s="5" t="inlineStr">
        <is>
          <t xml:space="preserve">Dato de entrada</t>
        </is>
      </c>
    </row>
    <row r="115">
      <c r="A115" s="5" t="inlineStr">
        <is>
          <t xml:space="preserve">Factor de patrón</t>
        </is>
      </c>
      <c r="B115" s="7">
        <v>1.05</v>
      </c>
      <c r="C115" s="5"/>
      <c r="D115" s="5" t="inlineStr">
        <is>
          <t xml:space="preserve">Dato de entrada</t>
        </is>
      </c>
    </row>
    <row r="116">
      <c r="A116" s="3" t="inlineStr">
        <is>
          <t xml:space="preserve">Resultados</t>
        </is>
      </c>
      <c r="B116" s="3"/>
      <c r="C116" s="3"/>
      <c r="D116" s="3"/>
    </row>
    <row r="117">
      <c r="A117" s="5" t="inlineStr">
        <is>
          <t xml:space="preserve">Área con desperdicio</t>
        </is>
      </c>
      <c r="B117" s="6">
        <f>$B$107*$B$115</f>
        <v>21</v>
      </c>
      <c r="C117" s="5" t="inlineStr">
        <is>
          <t xml:space="preserve">m²</t>
        </is>
      </c>
      <c r="D117" s="5" t="inlineStr">
        <is>
          <t xml:space="preserve">Área × factor de patrón</t>
        </is>
      </c>
    </row>
    <row r="118">
      <c r="A118" s="5" t="inlineStr">
        <is>
          <t xml:space="preserve">Piezas</t>
        </is>
      </c>
      <c r="B118" s="12">
        <f>ROUNDUP($B$107/(($B$108+$B$110/10)*($B$109+$B$110/10)/10000)*$B$115,0)</f>
        <v>58</v>
      </c>
      <c r="C118" s="5" t="inlineStr">
        <is>
          <t xml:space="preserve">und</t>
        </is>
      </c>
      <c r="D118" s="5" t="inlineStr">
        <is>
          <t xml:space="preserve">Área ÷ área de pieza con junta × factor</t>
        </is>
      </c>
    </row>
    <row r="119">
      <c r="A119" s="5" t="inlineStr">
        <is>
          <t xml:space="preserve">Cajas</t>
        </is>
      </c>
      <c r="B119" s="12">
        <f>ROUNDUP(B117/$B$113,0)</f>
        <v>15</v>
      </c>
      <c r="C119" s="5" t="inlineStr">
        <is>
          <t xml:space="preserve">cajas</t>
        </is>
      </c>
      <c r="D119" s="5" t="inlineStr">
        <is>
          <t xml:space="preserve">Área con desperdicio ÷ área por caja</t>
        </is>
      </c>
    </row>
    <row r="120">
      <c r="A120" s="5" t="inlineStr">
        <is>
          <t xml:space="preserve">Pego total</t>
        </is>
      </c>
      <c r="B120" s="6">
        <f>$B$107*$B$114</f>
        <v>100</v>
      </c>
      <c r="C120" s="5" t="inlineStr">
        <is>
          <t xml:space="preserve">kg</t>
        </is>
      </c>
      <c r="D120" s="5" t="inlineStr">
        <is>
          <t xml:space="preserve">Área × rendimiento</t>
        </is>
      </c>
    </row>
    <row r="121">
      <c r="A121" s="5" t="inlineStr">
        <is>
          <t xml:space="preserve">Pego (bolsas de 25 kg)</t>
        </is>
      </c>
      <c r="B121" s="12">
        <f>ROUNDUP(B120/25,0)</f>
        <v>4</v>
      </c>
      <c r="C121" s="5" t="inlineStr">
        <is>
          <t xml:space="preserve">bolsas</t>
        </is>
      </c>
      <c r="D121" s="5" t="inlineStr">
        <is>
          <t xml:space="preserve">Pego ÷ 25 kg</t>
        </is>
      </c>
    </row>
    <row r="122">
      <c r="A122" s="5" t="inlineStr">
        <is>
          <t xml:space="preserve">Boquilla</t>
        </is>
      </c>
      <c r="B122" s="6">
        <f>$B$107*(($B$108+$B$109)*10/($B$108*$B$109*100))*$B$110*$B$111*1.6</f>
        <v>2.5600000000000005</v>
      </c>
      <c r="C122" s="5" t="inlineStr">
        <is>
          <t xml:space="preserve">kg</t>
        </is>
      </c>
      <c r="D122" s="5" t="inlineStr">
        <is>
          <t xml:space="preserve">Área × factor de junta × junta × espesor × 1,6</t>
        </is>
      </c>
    </row>
    <row r="123"/>
    <row r="124">
      <c r="A124" s="11" t="inlineStr">
        <is>
          <t xml:space="preserve">8. Techo — Lámina de zinc acanalada, 41,76 m² de techo</t>
        </is>
      </c>
      <c r="B124" s="11"/>
      <c r="C124" s="11"/>
      <c r="D124" s="11"/>
    </row>
    <row r="125">
      <c r="A125" s="5" t="inlineStr">
        <is>
          <t xml:space="preserve">Longitud del faldón</t>
        </is>
      </c>
      <c r="B125" s="6">
        <v>2.6100766272276377</v>
      </c>
      <c r="C125" s="5" t="inlineStr">
        <is>
          <t xml:space="preserve">m</t>
        </is>
      </c>
      <c r="D125" s="5" t="inlineStr">
        <is>
          <t xml:space="preserve">Valor calculado en la app</t>
        </is>
      </c>
    </row>
    <row r="126">
      <c r="A126" s="5" t="inlineStr">
        <is>
          <t xml:space="preserve">Área de techo</t>
        </is>
      </c>
      <c r="B126" s="6">
        <v>41.7612260356422</v>
      </c>
      <c r="C126" s="5" t="inlineStr">
        <is>
          <t xml:space="preserve">m²</t>
        </is>
      </c>
      <c r="D126" s="5" t="inlineStr">
        <is>
          <t xml:space="preserve">Valor calculado en la app</t>
        </is>
      </c>
    </row>
    <row r="127">
      <c r="A127" s="5" t="inlineStr">
        <is>
          <t xml:space="preserve">Filas por faldón</t>
        </is>
      </c>
      <c r="B127" s="6">
        <v>10</v>
      </c>
      <c r="C127" s="5" t="inlineStr">
        <is>
          <t xml:space="preserve">und</t>
        </is>
      </c>
      <c r="D127" s="5" t="inlineStr">
        <is>
          <t xml:space="preserve">Valor calculado en la app</t>
        </is>
      </c>
    </row>
    <row r="128">
      <c r="A128" s="5" t="inlineStr">
        <is>
          <t xml:space="preserve">Láminas por fila</t>
        </is>
      </c>
      <c r="B128" s="6">
        <v>1</v>
      </c>
      <c r="C128" s="5" t="inlineStr">
        <is>
          <t xml:space="preserve">und</t>
        </is>
      </c>
      <c r="D128" s="5" t="inlineStr">
        <is>
          <t xml:space="preserve">Valor calculado en la app</t>
        </is>
      </c>
    </row>
    <row r="129">
      <c r="A129" s="5" t="inlineStr">
        <is>
          <t xml:space="preserve">Láminas totales</t>
        </is>
      </c>
      <c r="B129" s="6">
        <v>21</v>
      </c>
      <c r="C129" s="5" t="inlineStr">
        <is>
          <t xml:space="preserve">und</t>
        </is>
      </c>
      <c r="D129" s="5" t="inlineStr">
        <is>
          <t xml:space="preserve">Valor calculado en la app</t>
        </is>
      </c>
    </row>
    <row r="130"/>
    <row r="131">
      <c r="A131" s="11" t="inlineStr">
        <is>
          <t xml:space="preserve">9. Cuadrilla — Pared de bloque: 30 m², 1 cuadrilla(s)</t>
        </is>
      </c>
      <c r="B131" s="11"/>
      <c r="C131" s="11"/>
      <c r="D131" s="11"/>
    </row>
    <row r="132">
      <c r="A132" s="5" t="inlineStr">
        <is>
          <t xml:space="preserve">Actividad</t>
        </is>
      </c>
      <c r="B132" s="5" t="inlineStr">
        <is>
          <t xml:space="preserve">Pared de bloque</t>
        </is>
      </c>
      <c r="C132" s="5"/>
      <c r="D132" s="5" t="inlineStr">
        <is>
          <t xml:space="preserve">Dato de entrada</t>
        </is>
      </c>
    </row>
    <row r="133">
      <c r="A133" s="5" t="inlineStr">
        <is>
          <t xml:space="preserve">Cantidad</t>
        </is>
      </c>
      <c r="B133" s="7">
        <v>30</v>
      </c>
      <c r="C133" s="5"/>
      <c r="D133" s="5" t="inlineStr">
        <is>
          <t xml:space="preserve">Dato de entrada</t>
        </is>
      </c>
    </row>
    <row r="134">
      <c r="A134" s="5" t="inlineStr">
        <is>
          <t xml:space="preserve">Cuadrillas</t>
        </is>
      </c>
      <c r="B134" s="7">
        <v>1</v>
      </c>
      <c r="C134" s="5"/>
      <c r="D134" s="5" t="inlineStr">
        <is>
          <t xml:space="preserve">Dato de entrada</t>
        </is>
      </c>
    </row>
    <row r="135">
      <c r="A135" s="5" t="inlineStr">
        <is>
          <t xml:space="preserve">Rendimiento por día (0 = el de la actividad)</t>
        </is>
      </c>
      <c r="B135" s="7">
        <v>0</v>
      </c>
      <c r="C135" s="5"/>
      <c r="D135" s="5" t="inlineStr">
        <is>
          <t xml:space="preserve">Dato de entrada</t>
        </is>
      </c>
    </row>
    <row r="136">
      <c r="A136" s="5" t="inlineStr">
        <is>
          <t xml:space="preserve">Rendimiento usado</t>
        </is>
      </c>
      <c r="B136" s="7">
        <v>10</v>
      </c>
      <c r="C136" s="5" t="inlineStr">
        <is>
          <t xml:space="preserve">por día</t>
        </is>
      </c>
      <c r="D136" s="5" t="inlineStr">
        <is>
          <t xml:space="preserve">Dato de entrada</t>
        </is>
      </c>
    </row>
    <row r="137">
      <c r="A137" s="3" t="inlineStr">
        <is>
          <t xml:space="preserve">Resultados</t>
        </is>
      </c>
      <c r="B137" s="3"/>
      <c r="C137" s="3"/>
      <c r="D137" s="3"/>
    </row>
    <row r="138">
      <c r="A138" s="5" t="inlineStr">
        <is>
          <t xml:space="preserve">Días de trabajo</t>
        </is>
      </c>
      <c r="B138" s="6">
        <f>ROUNDUP($B$133/($B$136*$B$134)*10,0)/10</f>
        <v>3</v>
      </c>
      <c r="C138" s="5" t="inlineStr">
        <is>
          <t xml:space="preserve">días</t>
        </is>
      </c>
      <c r="D138" s="5" t="inlineStr">
        <is>
          <t xml:space="preserve">Cantidad ÷ (rendimiento × cuadrillas)</t>
        </is>
      </c>
    </row>
    <row r="139">
      <c r="A139" s="5" t="inlineStr">
        <is>
          <t xml:space="preserve">Jornales (2 personas)</t>
        </is>
      </c>
      <c r="B139" s="6">
        <f>B138*2*$B$134</f>
        <v>6</v>
      </c>
      <c r="C139" s="5" t="inlineStr">
        <is>
          <t xml:space="preserve">jornales</t>
        </is>
      </c>
      <c r="D139" s="5" t="inlineStr">
        <is>
          <t xml:space="preserve">Días × 2 personas × cuadrillas</t>
        </is>
      </c>
    </row>
    <row r="140"/>
    <row r="141">
      <c r="A141" s="11" t="inlineStr">
        <is>
          <t xml:space="preserve">10. Encofrado — Encofrado Columna: 0.3×0.3×3 m × 4</t>
        </is>
      </c>
      <c r="B141" s="11"/>
      <c r="C141" s="11"/>
      <c r="D141" s="11"/>
    </row>
    <row r="142">
      <c r="A142" s="5" t="inlineStr">
        <is>
          <t xml:space="preserve">Caras de tabla</t>
        </is>
      </c>
      <c r="B142" s="5" t="inlineStr">
        <is>
          <t xml:space="preserve">4 caras</t>
        </is>
      </c>
      <c r="C142" s="5"/>
      <c r="D142" s="5" t="inlineStr">
        <is>
          <t xml:space="preserve">Valor calculado en la app</t>
        </is>
      </c>
    </row>
    <row r="143">
      <c r="A143" s="5" t="inlineStr">
        <is>
          <t xml:space="preserve">Área de contacto</t>
        </is>
      </c>
      <c r="B143" s="6">
        <v>14.399999999999999</v>
      </c>
      <c r="C143" s="5" t="inlineStr">
        <is>
          <t xml:space="preserve">m²</t>
        </is>
      </c>
      <c r="D143" s="5" t="inlineStr">
        <is>
          <t xml:space="preserve">Valor calculado en la app</t>
        </is>
      </c>
    </row>
    <row r="144">
      <c r="A144" s="5" t="inlineStr">
        <is>
          <t xml:space="preserve">Tablas de 1"×8"×3 m</t>
        </is>
      </c>
      <c r="B144" s="6">
        <v>9</v>
      </c>
      <c r="C144" s="5" t="inlineStr">
        <is>
          <t xml:space="preserve">piezas</t>
        </is>
      </c>
      <c r="D144" s="5" t="inlineStr">
        <is>
          <t xml:space="preserve">Valor calculado en la app</t>
        </is>
      </c>
    </row>
    <row r="145">
      <c r="A145" s="5" t="inlineStr">
        <is>
          <t xml:space="preserve">Yugos</t>
        </is>
      </c>
      <c r="B145" s="6">
        <v>28</v>
      </c>
      <c r="C145" s="5" t="inlineStr">
        <is>
          <t xml:space="preserve">und</t>
        </is>
      </c>
      <c r="D145" s="5" t="inlineStr">
        <is>
          <t xml:space="preserve">Valor calculado en la app</t>
        </is>
      </c>
    </row>
    <row r="146">
      <c r="A146" s="5" t="inlineStr">
        <is>
          <t xml:space="preserve">Listones de 2"×4"×3 m (yugos)</t>
        </is>
      </c>
      <c r="B146" s="6">
        <v>6</v>
      </c>
      <c r="C146" s="5" t="inlineStr">
        <is>
          <t xml:space="preserve">piezas</t>
        </is>
      </c>
      <c r="D146" s="5" t="inlineStr">
        <is>
          <t xml:space="preserve">Valor calculado en la app</t>
        </is>
      </c>
    </row>
    <row r="147">
      <c r="A147" s="5" t="inlineStr">
        <is>
          <t xml:space="preserve">Tornapuntas</t>
        </is>
      </c>
      <c r="B147" s="6">
        <v>8</v>
      </c>
      <c r="C147" s="5" t="inlineStr">
        <is>
          <t xml:space="preserve">piezas</t>
        </is>
      </c>
      <c r="D147" s="5" t="inlineStr">
        <is>
          <t xml:space="preserve">Valor calculado en la app</t>
        </is>
      </c>
    </row>
    <row r="148">
      <c r="A148" s="5" t="inlineStr">
        <is>
          <t xml:space="preserve">Clavos de 2 1/2" (tablas)</t>
        </is>
      </c>
      <c r="B148" s="6">
        <v>1.7279999999999998</v>
      </c>
      <c r="C148" s="5" t="inlineStr">
        <is>
          <t xml:space="preserve">kg</t>
        </is>
      </c>
      <c r="D148" s="5" t="inlineStr">
        <is>
          <t xml:space="preserve">Valor calculado en la app</t>
        </is>
      </c>
    </row>
    <row r="149">
      <c r="A149" s="5" t="inlineStr">
        <is>
          <t xml:space="preserve">Clavos de 3" (yugos y soportes)</t>
        </is>
      </c>
      <c r="B149" s="6">
        <v>1.8</v>
      </c>
      <c r="C149" s="5" t="inlineStr">
        <is>
          <t xml:space="preserve">kg</t>
        </is>
      </c>
      <c r="D149" s="5" t="inlineStr">
        <is>
          <t xml:space="preserve">Valor calculado en la app</t>
        </is>
      </c>
    </row>
    <row r="150"/>
  </sheetData>
  <pageMargins left="0.5" right="0.5" top="0.6" bottom="0.6" header="0.3" footer="0.3"/>
  <pageSetup orientation="portrait" fitToWidth="1" fitToHeight="0"/>
</worksheet>
</file>