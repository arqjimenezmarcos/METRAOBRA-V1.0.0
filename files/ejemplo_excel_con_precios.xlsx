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 de compras" sheetId="1" r:id="rId1"/>
    <sheet name="Precios" sheetId="2" r:id="rId2"/>
    <sheet name="Resumen por partidas" sheetId="3" r:id="rId3"/>
    <sheet name="Fórmulas" sheetId="4" r:id="rId4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US$&quot; #,##0.00"/>
  </numFmts>
  <fonts count="6">
    <font>
      <sz val="11"/>
      <name val="Calibri"/>
    </font>
    <font>
      <b/>
      <sz val="11"/>
      <name val="Calibri"/>
    </font>
    <font>
      <b/>
      <sz val="11"/>
      <color rgb="FFF3EEDC"/>
      <name val="Calibri"/>
    </font>
    <font>
      <b/>
      <sz val="16"/>
      <color rgb="FF4A5230"/>
      <name val="Calibri"/>
    </font>
    <font>
      <i/>
      <sz val="10"/>
      <color rgb="FF5A5F3F"/>
      <name val="Calibri"/>
    </font>
    <font>
      <b/>
      <sz val="11"/>
      <color rgb="FF4A523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5230"/>
        <bgColor indexed="64"/>
      </patternFill>
    </fill>
    <fill>
      <patternFill patternType="solid">
        <fgColor rgb="FFF3EED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B9B38A"/>
      </left>
      <right style="thin">
        <color rgb="FFB9B38A"/>
      </right>
      <top style="thin">
        <color rgb="FFB9B38A"/>
      </top>
      <bottom style="thin">
        <color rgb="FFB9B38A"/>
      </bottom>
      <diagonal/>
    </border>
  </borders>
  <cellStyleXfs count="1">
    <xf numFmtId="0" fontId="0" fillId="0" borderId="0"/>
  </cellStyleXfs>
  <cellXfs count="16">
    <xf numFmtId="0" fontId="0" fillId="0" borderId="0" xfId="0" applyNumberFormat="1" applyFont="1" applyFill="1" applyBorder="1"/>
    <xf numFmtId="0" fontId="3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/>
    <xf numFmtId="0" fontId="0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4" fontId="0" fillId="0" borderId="1" xfId="0" applyNumberFormat="1" applyFont="1" applyFill="1" applyBorder="1"/>
    <xf numFmtId="4" fontId="0" fillId="4" borderId="1" xfId="0" applyNumberFormat="1" applyFont="1" applyFill="1" applyBorder="1"/>
    <xf numFmtId="0" fontId="1" fillId="3" borderId="1" xfId="0" applyNumberFormat="1" applyFont="1" applyFill="1" applyBorder="1"/>
    <xf numFmtId="4" fontId="1" fillId="3" borderId="1" xfId="0" applyNumberFormat="1" applyFont="1" applyFill="1" applyBorder="1"/>
    <xf numFmtId="0" fontId="4" fillId="0" borderId="0" xfId="0" applyNumberFormat="1" applyFont="1" applyFill="1" applyBorder="1"/>
    <xf numFmtId="0" fontId="5" fillId="3" borderId="1" xfId="0" applyNumberFormat="1" applyFont="1" applyFill="1" applyBorder="1"/>
    <xf numFmtId="3" fontId="0" fillId="0" borderId="1" xfId="0" applyNumberFormat="1" applyFont="1" applyFill="1" applyBorder="1"/>
    <xf numFmtId="164" fontId="0" fillId="0" borderId="1" xfId="0" applyNumberFormat="1" applyFont="1" applyFill="1" applyBorder="1"/>
    <xf numFmtId="164" fontId="0" fillId="4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tabSelected="1"/>
  </sheetViews>
  <sheetFormatPr defaultRowHeight="15"/>
  <cols>
    <col min="1" max="1" width="48" customWidth="1"/>
    <col min="2" max="2" width="12" customWidth="1"/>
    <col min="3" max="3" width="10" customWidth="1"/>
    <col min="4" max="4" width="14" customWidth="1"/>
    <col min="5" max="5" width="16" customWidth="1"/>
  </cols>
  <sheetData>
    <row r="1">
      <c r="A1" s="3" t="inlineStr">
        <is>
          <t xml:space="preserve">Proyecto</t>
        </is>
      </c>
      <c r="B1" s="4" t="inlineStr">
        <is>
          <t xml:space="preserve">Casa Prueba</t>
        </is>
      </c>
    </row>
    <row r="2">
      <c r="A2" s="3" t="inlineStr">
        <is>
          <t xml:space="preserve">Ubicación</t>
        </is>
      </c>
      <c r="B2" s="4"/>
    </row>
    <row r="3">
      <c r="A3" s="3" t="inlineStr">
        <is>
          <t xml:space="preserve">Fecha</t>
        </is>
      </c>
      <c r="B3" s="4" t="inlineStr">
        <is>
          <t xml:space="preserve">4/10/26, 3:19 a. m.</t>
        </is>
      </c>
    </row>
    <row r="4">
      <c r="A4" s="3" t="inlineStr">
        <is>
          <t xml:space="preserve">Generado por</t>
        </is>
      </c>
      <c r="B4" s="4"/>
    </row>
    <row r="5"/>
    <row r="6">
      <c r="A6" s="2" t="inlineStr">
        <is>
          <t xml:space="preserve">Descripción</t>
        </is>
      </c>
      <c r="B6" s="2" t="inlineStr">
        <is>
          <t xml:space="preserve">Cantidad</t>
        </is>
      </c>
      <c r="C6" s="2" t="inlineStr">
        <is>
          <t xml:space="preserve">Und</t>
        </is>
      </c>
      <c r="D6" s="2" t="inlineStr">
        <is>
          <t xml:space="preserve">P. Unitario (US$)</t>
        </is>
      </c>
      <c r="E6" s="2" t="inlineStr">
        <is>
          <t xml:space="preserve">Subtotal (US$)</t>
        </is>
      </c>
    </row>
    <row r="7">
      <c r="A7" s="5" t="inlineStr">
        <is>
          <t xml:space="preserve">Arena</t>
        </is>
      </c>
      <c r="B7" s="6">
        <v>0.5859000000000001</v>
      </c>
      <c r="C7" s="5" t="inlineStr">
        <is>
          <t xml:space="preserve">m³</t>
        </is>
      </c>
      <c r="D7" s="13">
        <f>Precios!C5</f>
        <v>30</v>
      </c>
      <c r="E7" s="13">
        <f>B7*D7</f>
        <v>17.577</v>
      </c>
    </row>
    <row r="8">
      <c r="A8" s="5" t="inlineStr">
        <is>
          <t xml:space="preserve">Cemento (saco de 50 kg)</t>
        </is>
      </c>
      <c r="B8" s="12">
        <v>9</v>
      </c>
      <c r="C8" s="5" t="inlineStr">
        <is>
          <t xml:space="preserve">sacos</t>
        </is>
      </c>
      <c r="D8" s="13">
        <f>Precios!C6</f>
        <v>9.5</v>
      </c>
      <c r="E8" s="13">
        <f>B8*D8</f>
        <v>85.5</v>
      </c>
    </row>
    <row r="9">
      <c r="A9" s="5" t="inlineStr">
        <is>
          <t xml:space="preserve">Piedra picada 1"</t>
        </is>
      </c>
      <c r="B9" s="6">
        <v>0.8788500000000002</v>
      </c>
      <c r="C9" s="5" t="inlineStr">
        <is>
          <t xml:space="preserve">m³</t>
        </is>
      </c>
      <c r="D9" s="13">
        <f>Precios!C7</f>
        <v>28</v>
      </c>
      <c r="E9" s="13">
        <f>B9*D9</f>
        <v>24.607800000000008</v>
      </c>
    </row>
    <row r="10">
      <c r="A10" s="8" t="inlineStr">
        <is>
          <t xml:space="preserve">TOTAL</t>
        </is>
      </c>
      <c r="B10" s="8"/>
      <c r="C10" s="8"/>
      <c r="D10" s="8"/>
      <c r="E10" s="15">
        <f>SUM(E7:E9)</f>
        <v>127.68480000000001</v>
      </c>
    </row>
    <row r="11"/>
    <row r="12">
      <c r="A12" s="10" t="inlineStr">
        <is>
          <t xml:space="preserve">Cantidades referenciales; verifícalas con tu ingeniero. Criterios de concreto según COVENIN 1753-2006.</t>
        </is>
      </c>
    </row>
  </sheetData>
  <pageMargins left="0.5" right="0.5" top="0.6" bottom="0.6" header="0.3" footer="0.3"/>
  <pageSetup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/>
  </sheetViews>
  <sheetFormatPr defaultRowHeight="15"/>
  <cols>
    <col min="1" max="1" width="48" customWidth="1"/>
    <col min="2" max="2" width="10" customWidth="1"/>
    <col min="3" max="3" width="16" customWidth="1"/>
  </cols>
  <sheetData>
    <row r="1">
      <c r="A1" s="1" t="inlineStr">
        <is>
          <t xml:space="preserve">Precios unitarios de materiales (US$)</t>
        </is>
      </c>
    </row>
    <row r="2">
      <c r="A2" s="10" t="inlineStr">
        <is>
          <t xml:space="preserve">Los precios vienen de la pestaña «Precios» de la app. Edita la columna C (celdas amarillas): las demás hojas se recalculan solas. Si un material tenía varios precios en la app, se usó el más reciente.</t>
        </is>
      </c>
    </row>
    <row r="3"/>
    <row r="4">
      <c r="A4" s="2" t="inlineStr">
        <is>
          <t xml:space="preserve">Material</t>
        </is>
      </c>
      <c r="B4" s="2" t="inlineStr">
        <is>
          <t xml:space="preserve">Und</t>
        </is>
      </c>
      <c r="C4" s="2" t="inlineStr">
        <is>
          <t xml:space="preserve">Precio unitario (US$)</t>
        </is>
      </c>
    </row>
    <row r="5">
      <c r="A5" s="5" t="inlineStr">
        <is>
          <t xml:space="preserve">Arena</t>
        </is>
      </c>
      <c r="B5" s="5" t="inlineStr">
        <is>
          <t xml:space="preserve">m³</t>
        </is>
      </c>
      <c r="C5" s="14">
        <v>30</v>
      </c>
    </row>
    <row r="6">
      <c r="A6" s="5" t="inlineStr">
        <is>
          <t xml:space="preserve">Cemento (saco de 50 kg)</t>
        </is>
      </c>
      <c r="B6" s="5" t="inlineStr">
        <is>
          <t xml:space="preserve">sacos</t>
        </is>
      </c>
      <c r="C6" s="14">
        <v>9.5</v>
      </c>
    </row>
    <row r="7">
      <c r="A7" s="5" t="inlineStr">
        <is>
          <t xml:space="preserve">Piedra picada 1"</t>
        </is>
      </c>
      <c r="B7" s="5" t="inlineStr">
        <is>
          <t xml:space="preserve">m³</t>
        </is>
      </c>
      <c r="C7" s="14">
        <v>28</v>
      </c>
    </row>
  </sheetData>
  <pageMargins left="0.5" right="0.5" top="0.6" bottom="0.6" header="0.3" footer="0.3"/>
  <pageSetup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/>
  </sheetViews>
  <sheetFormatPr defaultRowHeight="15"/>
  <cols>
    <col min="1" max="1" width="52" customWidth="1"/>
    <col min="2" max="2" width="12" customWidth="1"/>
    <col min="3" max="3" width="10" customWidth="1"/>
    <col min="4" max="4" width="14" customWidth="1"/>
    <col min="5" max="5" width="16" customWidth="1"/>
  </cols>
  <sheetData>
    <row r="1">
      <c r="A1" s="1" t="inlineStr">
        <is>
          <t xml:space="preserve">Resumen por partidas</t>
        </is>
      </c>
    </row>
    <row r="2">
      <c r="A2" s="4" t="inlineStr">
        <is>
          <t xml:space="preserve">Casa Prueba</t>
        </is>
      </c>
    </row>
    <row r="3"/>
    <row r="4">
      <c r="A4" s="2" t="inlineStr">
        <is>
          <t xml:space="preserve">Partida / Material</t>
        </is>
      </c>
      <c r="B4" s="2" t="inlineStr">
        <is>
          <t xml:space="preserve">Cantidad</t>
        </is>
      </c>
      <c r="C4" s="2" t="inlineStr">
        <is>
          <t xml:space="preserve">Und</t>
        </is>
      </c>
      <c r="D4" s="2" t="inlineStr">
        <is>
          <t xml:space="preserve">P. Unitario (US$)</t>
        </is>
      </c>
      <c r="E4" s="2" t="inlineStr">
        <is>
          <t xml:space="preserve">Subtotal (US$)</t>
        </is>
      </c>
    </row>
    <row r="5">
      <c r="A5" s="11" t="inlineStr">
        <is>
          <t xml:space="preserve">1. Columna · 1,08 m³ — Columna f'c 210 (1:2:3, a/c 0.5): 0.3×0.3×3 m × 4, piedra 1"</t>
        </is>
      </c>
      <c r="B5" s="11"/>
      <c r="C5" s="11"/>
      <c r="D5" s="11"/>
      <c r="E5" s="11"/>
    </row>
    <row r="6">
      <c r="A6" s="5" t="inlineStr">
        <is>
          <t xml:space="preserve">Cemento (saco de 50 kg)</t>
        </is>
      </c>
      <c r="B6" s="6">
        <v>8.436960000000001</v>
      </c>
      <c r="C6" s="5" t="inlineStr">
        <is>
          <t xml:space="preserve">sacos</t>
        </is>
      </c>
      <c r="D6" s="13">
        <f>Precios!C6</f>
        <v>9.5</v>
      </c>
      <c r="E6" s="13">
        <f>B6*D6</f>
        <v>80.15112</v>
      </c>
    </row>
    <row r="7">
      <c r="A7" s="5" t="inlineStr">
        <is>
          <t xml:space="preserve">Arena (concreto)</t>
        </is>
      </c>
      <c r="B7" s="6">
        <v>0.5859000000000001</v>
      </c>
      <c r="C7" s="5" t="inlineStr">
        <is>
          <t xml:space="preserve">m³</t>
        </is>
      </c>
      <c r="D7" s="13">
        <f>Precios!C5</f>
        <v>30</v>
      </c>
      <c r="E7" s="13">
        <f>B7*D7</f>
        <v>17.577</v>
      </c>
    </row>
    <row r="8">
      <c r="A8" s="5" t="inlineStr">
        <is>
          <t xml:space="preserve">Piedra picada 1" (concreto)</t>
        </is>
      </c>
      <c r="B8" s="6">
        <v>0.8788500000000002</v>
      </c>
      <c r="C8" s="5" t="inlineStr">
        <is>
          <t xml:space="preserve">m³</t>
        </is>
      </c>
      <c r="D8" s="13">
        <f>Precios!C7</f>
        <v>28</v>
      </c>
      <c r="E8" s="13">
        <f>B8*D8</f>
        <v>24.607800000000008</v>
      </c>
    </row>
    <row r="9">
      <c r="A9" s="8" t="inlineStr">
        <is>
          <t xml:space="preserve">Subtotal partida</t>
        </is>
      </c>
      <c r="B9" s="8"/>
      <c r="C9" s="8"/>
      <c r="D9" s="8"/>
      <c r="E9" s="15">
        <f>SUM(E6:E8)</f>
        <v>122.33592000000002</v>
      </c>
    </row>
    <row r="10"/>
    <row r="11">
      <c r="A11" s="8" t="inlineStr">
        <is>
          <t xml:space="preserve">TOTAL GENERAL</t>
        </is>
      </c>
      <c r="B11" s="8"/>
      <c r="C11" s="8"/>
      <c r="D11" s="8"/>
      <c r="E11" s="15">
        <f>E9</f>
        <v>122.33592000000002</v>
      </c>
    </row>
  </sheetData>
  <pageMargins left="0.5" right="0.5" top="0.6" bottom="0.6" header="0.3" footer="0.3"/>
  <pageSetup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/>
  </sheetViews>
  <sheetFormatPr defaultRowHeight="15"/>
  <cols>
    <col min="1" max="1" width="46" customWidth="1"/>
    <col min="2" max="2" width="16" customWidth="1"/>
    <col min="3" max="3" width="14" customWidth="1"/>
    <col min="4" max="4" width="62" customWidth="1"/>
  </cols>
  <sheetData>
    <row r="1">
      <c r="A1" s="1" t="inlineStr">
        <is>
          <t xml:space="preserve">Fórmulas y datos de cada cálculo</t>
        </is>
      </c>
    </row>
    <row r="2">
      <c r="A2" s="10" t="inlineStr">
        <is>
          <t xml:space="preserve">Los resultados son fórmulas vivas de Excel: cambia un dato de entrada (celda amarilla) y se recalculan.</t>
        </is>
      </c>
    </row>
    <row r="3"/>
    <row r="4">
      <c r="A4" s="11" t="inlineStr">
        <is>
          <t xml:space="preserve">1. Columna · 1,08 m³ — Columna f'c 210 (1:2:3, a/c 0.5): 0.3×0.3×3 m × 4, piedra 1"</t>
        </is>
      </c>
      <c r="B4" s="11"/>
      <c r="C4" s="11"/>
      <c r="D4" s="11"/>
    </row>
    <row r="5">
      <c r="A5" s="5" t="inlineStr">
        <is>
          <t xml:space="preserve">Elemento</t>
        </is>
      </c>
      <c r="B5" s="5" t="inlineStr">
        <is>
          <t xml:space="preserve">Columna</t>
        </is>
      </c>
      <c r="C5" s="5"/>
      <c r="D5" s="5" t="inlineStr">
        <is>
          <t xml:space="preserve">Dato de entrada</t>
        </is>
      </c>
    </row>
    <row r="6">
      <c r="A6" s="5" t="inlineStr">
        <is>
          <t xml:space="preserve">Largo</t>
        </is>
      </c>
      <c r="B6" s="7">
        <v>0.3</v>
      </c>
      <c r="C6" s="5" t="inlineStr">
        <is>
          <t xml:space="preserve">m</t>
        </is>
      </c>
      <c r="D6" s="5" t="inlineStr">
        <is>
          <t xml:space="preserve">Dato de entrada</t>
        </is>
      </c>
    </row>
    <row r="7">
      <c r="A7" s="5" t="inlineStr">
        <is>
          <t xml:space="preserve">Ancho</t>
        </is>
      </c>
      <c r="B7" s="7">
        <v>0.3</v>
      </c>
      <c r="C7" s="5" t="inlineStr">
        <is>
          <t xml:space="preserve">m</t>
        </is>
      </c>
      <c r="D7" s="5" t="inlineStr">
        <is>
          <t xml:space="preserve">Dato de entrada</t>
        </is>
      </c>
    </row>
    <row r="8">
      <c r="A8" s="5" t="inlineStr">
        <is>
          <t xml:space="preserve">Alto o espesor</t>
        </is>
      </c>
      <c r="B8" s="7">
        <v>3</v>
      </c>
      <c r="C8" s="5" t="inlineStr">
        <is>
          <t xml:space="preserve">m</t>
        </is>
      </c>
      <c r="D8" s="5" t="inlineStr">
        <is>
          <t xml:space="preserve">Dato de entrada</t>
        </is>
      </c>
    </row>
    <row r="9">
      <c r="A9" s="5" t="inlineStr">
        <is>
          <t xml:space="preserve">Cantidad</t>
        </is>
      </c>
      <c r="B9" s="7">
        <v>4</v>
      </c>
      <c r="C9" s="5" t="inlineStr">
        <is>
          <t xml:space="preserve">und</t>
        </is>
      </c>
      <c r="D9" s="5" t="inlineStr">
        <is>
          <t xml:space="preserve">Dato de entrada</t>
        </is>
      </c>
    </row>
    <row r="10">
      <c r="A10" s="5" t="inlineStr">
        <is>
          <t xml:space="preserve">Separación libre entre barras</t>
        </is>
      </c>
      <c r="B10" s="7">
        <v>5</v>
      </c>
      <c r="C10" s="5" t="inlineStr">
        <is>
          <t xml:space="preserve">cm</t>
        </is>
      </c>
      <c r="D10" s="5" t="inlineStr">
        <is>
          <t xml:space="preserve">Dato de entrada</t>
        </is>
      </c>
    </row>
    <row r="11">
      <c r="A11" s="5" t="inlineStr">
        <is>
          <t xml:space="preserve">f'c (kg/cm²)</t>
        </is>
      </c>
      <c r="B11" s="7">
        <v>210</v>
      </c>
      <c r="C11" s="5"/>
      <c r="D11" s="5" t="inlineStr">
        <is>
          <t xml:space="preserve">Dato de entrada</t>
        </is>
      </c>
    </row>
    <row r="12">
      <c r="A12" s="5" t="inlineStr">
        <is>
          <t xml:space="preserve">Proporción C:A:G</t>
        </is>
      </c>
      <c r="B12" s="5" t="inlineStr">
        <is>
          <t xml:space="preserve">1:2:3</t>
        </is>
      </c>
      <c r="C12" s="5"/>
      <c r="D12" s="5" t="inlineStr">
        <is>
          <t xml:space="preserve">Dato de entrada</t>
        </is>
      </c>
    </row>
    <row r="13">
      <c r="A13" s="5" t="inlineStr">
        <is>
          <t xml:space="preserve">Relación agua/cemento (a/c)</t>
        </is>
      </c>
      <c r="B13" s="7">
        <v>0.5</v>
      </c>
      <c r="C13" s="5"/>
      <c r="D13" s="5" t="inlineStr">
        <is>
          <t xml:space="preserve">Dato de entrada</t>
        </is>
      </c>
    </row>
    <row r="14">
      <c r="A14" s="5" t="inlineStr">
        <is>
          <t xml:space="preserve">Saco de cemento (kg)</t>
        </is>
      </c>
      <c r="B14" s="7">
        <v>50</v>
      </c>
      <c r="C14" s="5"/>
      <c r="D14" s="5" t="inlineStr">
        <is>
          <t xml:space="preserve">Dato de entrada</t>
        </is>
      </c>
    </row>
    <row r="15">
      <c r="A15" s="5" t="inlineStr">
        <is>
          <t xml:space="preserve">Piedra picada</t>
        </is>
      </c>
      <c r="B15" s="5" t="inlineStr">
        <is>
          <t xml:space="preserve">Recomendada</t>
        </is>
      </c>
      <c r="C15" s="5"/>
      <c r="D15" s="5" t="inlineStr">
        <is>
          <t xml:space="preserve">Dato de entrada</t>
        </is>
      </c>
    </row>
    <row r="16">
      <c r="A16" s="5" t="inlineStr">
        <is>
          <t xml:space="preserve">Tipo de concreto</t>
        </is>
      </c>
      <c r="B16" s="5" t="inlineStr">
        <is>
          <t xml:space="preserve">Hecho en obra</t>
        </is>
      </c>
      <c r="C16" s="5"/>
      <c r="D16" s="5" t="inlineStr">
        <is>
          <t xml:space="preserve">Dato de entrada</t>
        </is>
      </c>
    </row>
    <row r="17">
      <c r="A17" s="5" t="inlineStr">
        <is>
          <t xml:space="preserve">Desperdicio</t>
        </is>
      </c>
      <c r="B17" s="7">
        <v>5</v>
      </c>
      <c r="C17" s="5" t="inlineStr">
        <is>
          <t xml:space="preserve">%</t>
        </is>
      </c>
      <c r="D17" s="5" t="inlineStr">
        <is>
          <t xml:space="preserve">Dato de entrada</t>
        </is>
      </c>
    </row>
    <row r="18">
      <c r="A18" s="5" t="inlineStr">
        <is>
          <t xml:space="preserve">Partes de cemento</t>
        </is>
      </c>
      <c r="B18" s="7">
        <v>1</v>
      </c>
      <c r="C18" s="5"/>
      <c r="D18" s="5" t="inlineStr">
        <is>
          <t xml:space="preserve">Dato de entrada</t>
        </is>
      </c>
    </row>
    <row r="19">
      <c r="A19" s="5" t="inlineStr">
        <is>
          <t xml:space="preserve">Partes de arena</t>
        </is>
      </c>
      <c r="B19" s="7">
        <v>2</v>
      </c>
      <c r="C19" s="5"/>
      <c r="D19" s="5" t="inlineStr">
        <is>
          <t xml:space="preserve">Dato de entrada</t>
        </is>
      </c>
    </row>
    <row r="20">
      <c r="A20" s="5" t="inlineStr">
        <is>
          <t xml:space="preserve">Partes de grava</t>
        </is>
      </c>
      <c r="B20" s="7">
        <v>3</v>
      </c>
      <c r="C20" s="5"/>
      <c r="D20" s="5" t="inlineStr">
        <is>
          <t xml:space="preserve">Dato de entrada</t>
        </is>
      </c>
    </row>
    <row r="21">
      <c r="A21" s="3" t="inlineStr">
        <is>
          <t xml:space="preserve">Resultados</t>
        </is>
      </c>
      <c r="B21" s="3"/>
      <c r="C21" s="3"/>
      <c r="D21" s="3"/>
    </row>
    <row r="22">
      <c r="A22" s="5" t="inlineStr">
        <is>
          <t xml:space="preserve">Volumen neto</t>
        </is>
      </c>
      <c r="B22" s="6">
        <f>$B$6*$B$7*$B$8*$B$9</f>
        <v>1.08</v>
      </c>
      <c r="C22" s="5" t="inlineStr">
        <is>
          <t xml:space="preserve">m³</t>
        </is>
      </c>
      <c r="D22" s="5" t="inlineStr">
        <is>
          <t xml:space="preserve">Largo × Ancho × Alto × Cantidad</t>
        </is>
      </c>
    </row>
    <row r="23">
      <c r="A23" s="5" t="inlineStr">
        <is>
          <t xml:space="preserve">Volumen con desperdicio</t>
        </is>
      </c>
      <c r="B23" s="6">
        <f>B22*(1+$B$17/100)</f>
        <v>1.1340000000000001</v>
      </c>
      <c r="C23" s="5" t="inlineStr">
        <is>
          <t xml:space="preserve">m³</t>
        </is>
      </c>
      <c r="D23" s="5" t="inlineStr">
        <is>
          <t xml:space="preserve">Volumen neto × (1 + desperdicio/100)</t>
        </is>
      </c>
    </row>
    <row r="24">
      <c r="A24" s="5" t="inlineStr">
        <is>
          <t xml:space="preserve">Volumen suelto</t>
        </is>
      </c>
      <c r="B24" s="6">
        <f>B23*1.55</f>
        <v>1.7577000000000003</v>
      </c>
      <c r="C24" s="5" t="inlineStr">
        <is>
          <t xml:space="preserve">m³</t>
        </is>
      </c>
      <c r="D24" s="5" t="inlineStr">
        <is>
          <t xml:space="preserve">V × 1,55 (corrige a material suelto)</t>
        </is>
      </c>
    </row>
    <row r="25">
      <c r="A25" s="5" t="inlineStr">
        <is>
          <t xml:space="preserve">Cemento</t>
        </is>
      </c>
      <c r="B25" s="6">
        <f>B24*$B$18/($B$18+$B$19+$B$20)*1440</f>
        <v>421.84800000000007</v>
      </c>
      <c r="C25" s="5" t="inlineStr">
        <is>
          <t xml:space="preserve">kg</t>
        </is>
      </c>
      <c r="D25" s="5" t="inlineStr">
        <is>
          <t xml:space="preserve">Vseco × C/(C+A+G) × 1440 kg/m³</t>
        </is>
      </c>
    </row>
    <row r="26">
      <c r="A26" s="5" t="inlineStr">
        <is>
          <t xml:space="preserve">Sacos de cemento</t>
        </is>
      </c>
      <c r="B26" s="12">
        <f>B25/$B$14</f>
        <v>8.436960000000001</v>
      </c>
      <c r="C26" s="5" t="inlineStr">
        <is>
          <t xml:space="preserve">sacos</t>
        </is>
      </c>
      <c r="D26" s="5" t="inlineStr">
        <is>
          <t xml:space="preserve">Cemento (kg) ÷ kg por saco</t>
        </is>
      </c>
    </row>
    <row r="27">
      <c r="A27" s="5" t="inlineStr">
        <is>
          <t xml:space="preserve">Arena</t>
        </is>
      </c>
      <c r="B27" s="6">
        <f>B24*$B$19/($B$18+$B$19+$B$20)</f>
        <v>0.5859000000000001</v>
      </c>
      <c r="C27" s="5" t="inlineStr">
        <is>
          <t xml:space="preserve">m³</t>
        </is>
      </c>
      <c r="D27" s="5" t="inlineStr">
        <is>
          <t xml:space="preserve">Vseco × A/(C+A+G)</t>
        </is>
      </c>
    </row>
    <row r="28">
      <c r="A28" s="5" t="inlineStr">
        <is>
          <t xml:space="preserve">Grava / piedra picada</t>
        </is>
      </c>
      <c r="B28" s="6">
        <f>B24*$B$20/($B$18+$B$19+$B$20)</f>
        <v>0.8788500000000002</v>
      </c>
      <c r="C28" s="5" t="inlineStr">
        <is>
          <t xml:space="preserve">m³</t>
        </is>
      </c>
      <c r="D28" s="5" t="inlineStr">
        <is>
          <t xml:space="preserve">Vseco × G/(C+A+G)</t>
        </is>
      </c>
    </row>
    <row r="29">
      <c r="A29" s="5" t="inlineStr">
        <is>
          <t xml:space="preserve">Agua</t>
        </is>
      </c>
      <c r="B29" s="6">
        <f>B25*$B$13</f>
        <v>210.92400000000004</v>
      </c>
      <c r="C29" s="5" t="inlineStr">
        <is>
          <t xml:space="preserve">L</t>
        </is>
      </c>
      <c r="D29" s="5" t="inlineStr">
        <is>
          <t xml:space="preserve">Cemento (kg) × relación a/c</t>
        </is>
      </c>
    </row>
    <row r="30"/>
  </sheetData>
  <pageMargins left="0.5" right="0.5" top="0.6" bottom="0.6" header="0.3" footer="0.3"/>
  <pageSetup orientation="portrait" fitToWidth="1" fitToHeight="0"/>
</worksheet>
</file>